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Universidad_Panamerica\2026-1\Ecuaciones_Diferenciales_y_Metodos_Numericos\Curso\"/>
    </mc:Choice>
  </mc:AlternateContent>
  <xr:revisionPtr revIDLastSave="0" documentId="13_ncr:1_{3C8857DA-0AA4-4B3F-A447-24C512C16D9F}" xr6:coauthVersionLast="47" xr6:coauthVersionMax="47" xr10:uidLastSave="{00000000-0000-0000-0000-000000000000}"/>
  <bookViews>
    <workbookView xWindow="17169" yWindow="0" windowWidth="12402" windowHeight="11709" activeTab="3" xr2:uid="{00000000-000D-0000-FFFF-FFFF00000000}"/>
  </bookViews>
  <sheets>
    <sheet name="Onda" sheetId="3" r:id="rId1"/>
    <sheet name="Difusion" sheetId="11" r:id="rId2"/>
    <sheet name="Delay" sheetId="4" r:id="rId3"/>
    <sheet name="Fina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6" l="1"/>
  <c r="I7" i="6"/>
  <c r="I9" i="6"/>
  <c r="I11" i="6"/>
  <c r="I3" i="6"/>
  <c r="F4" i="4"/>
  <c r="F6" i="4"/>
  <c r="F8" i="4"/>
  <c r="F10" i="4"/>
  <c r="F2" i="4"/>
  <c r="I4" i="3"/>
  <c r="I6" i="3"/>
  <c r="I8" i="3"/>
  <c r="I10" i="3"/>
  <c r="I2" i="3"/>
  <c r="H10" i="11"/>
  <c r="H8" i="11"/>
  <c r="H6" i="11"/>
  <c r="H4" i="11"/>
  <c r="H2" i="11"/>
</calcChain>
</file>

<file path=xl/sharedStrings.xml><?xml version="1.0" encoding="utf-8"?>
<sst xmlns="http://schemas.openxmlformats.org/spreadsheetml/2006/main" count="103" uniqueCount="42">
  <si>
    <t>Apellido</t>
  </si>
  <si>
    <t>Nombre</t>
  </si>
  <si>
    <t>Bolaños Cortés</t>
  </si>
  <si>
    <t>Ain</t>
  </si>
  <si>
    <t>Eguiarte Maldonado</t>
  </si>
  <si>
    <t>Esteban</t>
  </si>
  <si>
    <t>Gutiérrez Jiménez</t>
  </si>
  <si>
    <t>Jorge Eduardo</t>
  </si>
  <si>
    <t>Malpica Blackaller</t>
  </si>
  <si>
    <t>Natalia</t>
  </si>
  <si>
    <t>Martínez Mendoza</t>
  </si>
  <si>
    <t>Diego</t>
  </si>
  <si>
    <t>Quirós Asprón</t>
  </si>
  <si>
    <t>Mateo</t>
  </si>
  <si>
    <t>Ramírez Nieto</t>
  </si>
  <si>
    <t>Leyre Anayantzin</t>
  </si>
  <si>
    <t>Sánchez Esparza</t>
  </si>
  <si>
    <t>Mariana</t>
  </si>
  <si>
    <t>Solís Ruiz</t>
  </si>
  <si>
    <t>Alen Jerson</t>
  </si>
  <si>
    <t>Vargas Alemán</t>
  </si>
  <si>
    <t>Abel</t>
  </si>
  <si>
    <t xml:space="preserve">ID </t>
  </si>
  <si>
    <t>Total</t>
  </si>
  <si>
    <t>Ejercicio1</t>
  </si>
  <si>
    <t>Ejercicio2</t>
  </si>
  <si>
    <t>Ejercicio3</t>
  </si>
  <si>
    <t xml:space="preserve">Total </t>
  </si>
  <si>
    <t>Ejercicio4</t>
  </si>
  <si>
    <t>Ej1</t>
  </si>
  <si>
    <t>Ej2</t>
  </si>
  <si>
    <t>Ej3</t>
  </si>
  <si>
    <t>Ej4</t>
  </si>
  <si>
    <t>Ej5</t>
  </si>
  <si>
    <t>Ej6</t>
  </si>
  <si>
    <t>Delay</t>
  </si>
  <si>
    <t>Onda</t>
  </si>
  <si>
    <t>Difusion</t>
  </si>
  <si>
    <t>Proyecto</t>
  </si>
  <si>
    <t>Presentación</t>
  </si>
  <si>
    <t>Implementación</t>
  </si>
  <si>
    <t xml:space="preserve">Puntos Tareas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</si>
</sst>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DB09-3C61-412A-83BA-EC00599E8532}">
  <dimension ref="A1:I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:I11"/>
    </sheetView>
  </sheetViews>
  <sheetFormatPr baseColWidth="10" defaultRowHeight="14.6" x14ac:dyDescent="0.4"/>
  <sheetData>
    <row r="1" spans="1:9" ht="15" thickBot="1" x14ac:dyDescent="0.45">
      <c r="A1" t="s">
        <v>1</v>
      </c>
      <c r="B1" t="s">
        <v>22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27</v>
      </c>
    </row>
    <row r="2" spans="1:9" x14ac:dyDescent="0.4">
      <c r="A2" s="2" t="s">
        <v>21</v>
      </c>
      <c r="B2" s="3">
        <v>263902</v>
      </c>
      <c r="C2" s="7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f>(C2+D2+E2+F2+G2+H2)/6</f>
        <v>1</v>
      </c>
    </row>
    <row r="3" spans="1:9" ht="15" thickBot="1" x14ac:dyDescent="0.45">
      <c r="A3" s="5" t="s">
        <v>17</v>
      </c>
      <c r="B3" s="6">
        <v>269101</v>
      </c>
      <c r="C3" s="7"/>
      <c r="D3" s="8"/>
      <c r="E3" s="8"/>
      <c r="F3" s="8"/>
      <c r="G3" s="8"/>
      <c r="H3" s="8"/>
      <c r="I3" s="8"/>
    </row>
    <row r="4" spans="1:9" x14ac:dyDescent="0.4">
      <c r="A4" s="2" t="s">
        <v>3</v>
      </c>
      <c r="B4" s="3">
        <v>267980</v>
      </c>
      <c r="C4" s="7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f t="shared" ref="I4" si="0">(C4+D4+E4+F4+G4+H4)/6</f>
        <v>1</v>
      </c>
    </row>
    <row r="5" spans="1:9" ht="15" thickBot="1" x14ac:dyDescent="0.45">
      <c r="A5" s="5" t="s">
        <v>7</v>
      </c>
      <c r="B5" s="6">
        <v>240221</v>
      </c>
      <c r="C5" s="7"/>
      <c r="D5" s="8"/>
      <c r="E5" s="8"/>
      <c r="F5" s="8"/>
      <c r="G5" s="8"/>
      <c r="H5" s="8"/>
      <c r="I5" s="8"/>
    </row>
    <row r="6" spans="1:9" x14ac:dyDescent="0.4">
      <c r="A6" s="2" t="s">
        <v>19</v>
      </c>
      <c r="B6" s="3">
        <v>269225</v>
      </c>
      <c r="C6" s="7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f t="shared" ref="I6" si="1">(C6+D6+E6+F6+G6+H6)/6</f>
        <v>1</v>
      </c>
    </row>
    <row r="7" spans="1:9" ht="15" thickBot="1" x14ac:dyDescent="0.45">
      <c r="A7" s="5" t="s">
        <v>11</v>
      </c>
      <c r="B7" s="6">
        <v>266532</v>
      </c>
      <c r="C7" s="7"/>
      <c r="D7" s="8"/>
      <c r="E7" s="8"/>
      <c r="F7" s="8"/>
      <c r="G7" s="8"/>
      <c r="H7" s="8"/>
      <c r="I7" s="8"/>
    </row>
    <row r="8" spans="1:9" x14ac:dyDescent="0.4">
      <c r="A8" s="2" t="s">
        <v>5</v>
      </c>
      <c r="B8" s="3">
        <v>267689</v>
      </c>
      <c r="C8" s="7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f t="shared" ref="I8" si="2">(C8+D8+E8+F8+G8+H8)/6</f>
        <v>1</v>
      </c>
    </row>
    <row r="9" spans="1:9" ht="15" thickBot="1" x14ac:dyDescent="0.45">
      <c r="A9" s="5" t="s">
        <v>13</v>
      </c>
      <c r="B9" s="6">
        <v>234727</v>
      </c>
      <c r="C9" s="7"/>
      <c r="D9" s="8"/>
      <c r="E9" s="8"/>
      <c r="F9" s="8"/>
      <c r="G9" s="8"/>
      <c r="H9" s="8"/>
      <c r="I9" s="8"/>
    </row>
    <row r="10" spans="1:9" x14ac:dyDescent="0.4">
      <c r="A10" s="2" t="s">
        <v>9</v>
      </c>
      <c r="B10" s="3">
        <v>261343</v>
      </c>
      <c r="C10" s="7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f t="shared" ref="I10" si="3">(C10+D10+E10+F10+G10+H10)/6</f>
        <v>1</v>
      </c>
    </row>
    <row r="11" spans="1:9" ht="15" thickBot="1" x14ac:dyDescent="0.45">
      <c r="A11" s="5" t="s">
        <v>15</v>
      </c>
      <c r="B11" s="6">
        <v>269112</v>
      </c>
      <c r="C11" s="7"/>
      <c r="D11" s="8"/>
      <c r="E11" s="8"/>
      <c r="F11" s="8"/>
      <c r="G11" s="8"/>
      <c r="H11" s="8"/>
      <c r="I11" s="8"/>
    </row>
  </sheetData>
  <mergeCells count="35">
    <mergeCell ref="H2:H3"/>
    <mergeCell ref="H4:H5"/>
    <mergeCell ref="H6:H7"/>
    <mergeCell ref="H8:H9"/>
    <mergeCell ref="H10:H11"/>
    <mergeCell ref="G2:G3"/>
    <mergeCell ref="G4:G5"/>
    <mergeCell ref="G6:G7"/>
    <mergeCell ref="G8:G9"/>
    <mergeCell ref="G10:G11"/>
    <mergeCell ref="F2:F3"/>
    <mergeCell ref="F4:F5"/>
    <mergeCell ref="F6:F7"/>
    <mergeCell ref="F8:F9"/>
    <mergeCell ref="F10:F11"/>
    <mergeCell ref="I2:I3"/>
    <mergeCell ref="I4:I5"/>
    <mergeCell ref="I6:I7"/>
    <mergeCell ref="I8:I9"/>
    <mergeCell ref="I10:I11"/>
    <mergeCell ref="E2:E3"/>
    <mergeCell ref="C4:C5"/>
    <mergeCell ref="D4:D5"/>
    <mergeCell ref="E4:E5"/>
    <mergeCell ref="C10:C11"/>
    <mergeCell ref="D10:D11"/>
    <mergeCell ref="E10:E11"/>
    <mergeCell ref="C6:C7"/>
    <mergeCell ref="D6:D7"/>
    <mergeCell ref="E6:E7"/>
    <mergeCell ref="C8:C9"/>
    <mergeCell ref="D8:D9"/>
    <mergeCell ref="E8:E9"/>
    <mergeCell ref="C2:C3"/>
    <mergeCell ref="D2:D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9928-52EA-49AB-ABF7-58380407ACE9}">
  <dimension ref="A1:H11"/>
  <sheetViews>
    <sheetView workbookViewId="0">
      <selection activeCell="H2" sqref="H2:H11"/>
    </sheetView>
  </sheetViews>
  <sheetFormatPr baseColWidth="10" defaultRowHeight="14.6" x14ac:dyDescent="0.4"/>
  <sheetData>
    <row r="1" spans="1:8" ht="15" thickBot="1" x14ac:dyDescent="0.45">
      <c r="A1" t="s">
        <v>0</v>
      </c>
      <c r="B1" t="s">
        <v>1</v>
      </c>
      <c r="C1" t="s">
        <v>22</v>
      </c>
      <c r="D1" t="s">
        <v>24</v>
      </c>
      <c r="E1" t="s">
        <v>25</v>
      </c>
      <c r="F1" t="s">
        <v>26</v>
      </c>
      <c r="G1" t="s">
        <v>28</v>
      </c>
      <c r="H1" t="s">
        <v>23</v>
      </c>
    </row>
    <row r="2" spans="1:8" x14ac:dyDescent="0.4">
      <c r="A2" s="1" t="s">
        <v>20</v>
      </c>
      <c r="B2" s="2" t="s">
        <v>21</v>
      </c>
      <c r="C2" s="3">
        <v>263902</v>
      </c>
      <c r="D2" s="7">
        <v>1</v>
      </c>
      <c r="E2" s="8">
        <v>1</v>
      </c>
      <c r="F2" s="8">
        <v>1</v>
      </c>
      <c r="G2" s="8">
        <v>1</v>
      </c>
      <c r="H2" s="8">
        <f>(D2+E2+F2+G2)/4</f>
        <v>1</v>
      </c>
    </row>
    <row r="3" spans="1:8" ht="15" thickBot="1" x14ac:dyDescent="0.45">
      <c r="A3" s="4" t="s">
        <v>16</v>
      </c>
      <c r="B3" s="5" t="s">
        <v>17</v>
      </c>
      <c r="C3" s="6">
        <v>269101</v>
      </c>
      <c r="D3" s="7"/>
      <c r="E3" s="8"/>
      <c r="F3" s="8"/>
      <c r="G3" s="8"/>
      <c r="H3" s="8"/>
    </row>
    <row r="4" spans="1:8" x14ac:dyDescent="0.4">
      <c r="A4" s="1" t="s">
        <v>2</v>
      </c>
      <c r="B4" s="2" t="s">
        <v>3</v>
      </c>
      <c r="C4" s="3">
        <v>267980</v>
      </c>
      <c r="D4" s="7">
        <v>1</v>
      </c>
      <c r="E4" s="8">
        <v>1</v>
      </c>
      <c r="F4" s="8">
        <v>1</v>
      </c>
      <c r="G4" s="8">
        <v>1</v>
      </c>
      <c r="H4" s="8">
        <f t="shared" ref="H4" si="0">(D4+E4+F4)/3</f>
        <v>1</v>
      </c>
    </row>
    <row r="5" spans="1:8" ht="15" thickBot="1" x14ac:dyDescent="0.45">
      <c r="A5" s="4" t="s">
        <v>6</v>
      </c>
      <c r="B5" s="5" t="s">
        <v>7</v>
      </c>
      <c r="C5" s="6">
        <v>240221</v>
      </c>
      <c r="D5" s="7"/>
      <c r="E5" s="8"/>
      <c r="F5" s="8"/>
      <c r="G5" s="8"/>
      <c r="H5" s="8"/>
    </row>
    <row r="6" spans="1:8" x14ac:dyDescent="0.4">
      <c r="A6" s="1" t="s">
        <v>18</v>
      </c>
      <c r="B6" s="2" t="s">
        <v>19</v>
      </c>
      <c r="C6" s="3">
        <v>269225</v>
      </c>
      <c r="D6" s="7">
        <v>1</v>
      </c>
      <c r="E6" s="8">
        <v>1</v>
      </c>
      <c r="F6" s="8">
        <v>1</v>
      </c>
      <c r="G6" s="8">
        <v>1</v>
      </c>
      <c r="H6" s="8">
        <f t="shared" ref="H6" si="1">(D6+E6+F6)/3</f>
        <v>1</v>
      </c>
    </row>
    <row r="7" spans="1:8" ht="15" thickBot="1" x14ac:dyDescent="0.45">
      <c r="A7" s="4" t="s">
        <v>10</v>
      </c>
      <c r="B7" s="5" t="s">
        <v>11</v>
      </c>
      <c r="C7" s="6">
        <v>266532</v>
      </c>
      <c r="D7" s="7"/>
      <c r="E7" s="8"/>
      <c r="F7" s="8"/>
      <c r="G7" s="8"/>
      <c r="H7" s="8"/>
    </row>
    <row r="8" spans="1:8" x14ac:dyDescent="0.4">
      <c r="A8" s="1" t="s">
        <v>4</v>
      </c>
      <c r="B8" s="2" t="s">
        <v>5</v>
      </c>
      <c r="C8" s="3">
        <v>267689</v>
      </c>
      <c r="D8" s="7">
        <v>1</v>
      </c>
      <c r="E8" s="8">
        <v>1</v>
      </c>
      <c r="F8" s="8">
        <v>1</v>
      </c>
      <c r="G8" s="8">
        <v>1</v>
      </c>
      <c r="H8" s="8">
        <f t="shared" ref="H8" si="2">(D8+E8+F8)/3</f>
        <v>1</v>
      </c>
    </row>
    <row r="9" spans="1:8" ht="15" thickBot="1" x14ac:dyDescent="0.45">
      <c r="A9" s="4" t="s">
        <v>12</v>
      </c>
      <c r="B9" s="5" t="s">
        <v>13</v>
      </c>
      <c r="C9" s="6">
        <v>234727</v>
      </c>
      <c r="D9" s="7"/>
      <c r="E9" s="8"/>
      <c r="F9" s="8"/>
      <c r="G9" s="8"/>
      <c r="H9" s="8"/>
    </row>
    <row r="10" spans="1:8" x14ac:dyDescent="0.4">
      <c r="A10" s="1" t="s">
        <v>8</v>
      </c>
      <c r="B10" s="2" t="s">
        <v>9</v>
      </c>
      <c r="C10" s="3">
        <v>261343</v>
      </c>
      <c r="D10" s="7">
        <v>1</v>
      </c>
      <c r="E10" s="8">
        <v>1</v>
      </c>
      <c r="F10" s="8">
        <v>1</v>
      </c>
      <c r="G10" s="8">
        <v>1</v>
      </c>
      <c r="H10" s="8">
        <f t="shared" ref="H10" si="3">(D10+E10+F10)/3</f>
        <v>1</v>
      </c>
    </row>
    <row r="11" spans="1:8" ht="15" thickBot="1" x14ac:dyDescent="0.45">
      <c r="A11" s="4" t="s">
        <v>14</v>
      </c>
      <c r="B11" s="5" t="s">
        <v>15</v>
      </c>
      <c r="C11" s="6">
        <v>269112</v>
      </c>
      <c r="D11" s="7"/>
      <c r="E11" s="8"/>
      <c r="F11" s="8"/>
      <c r="G11" s="8"/>
      <c r="H11" s="8"/>
    </row>
  </sheetData>
  <mergeCells count="25">
    <mergeCell ref="D10:D11"/>
    <mergeCell ref="E10:E11"/>
    <mergeCell ref="F10:F11"/>
    <mergeCell ref="G10:G11"/>
    <mergeCell ref="H10:H11"/>
    <mergeCell ref="D6:D7"/>
    <mergeCell ref="E6:E7"/>
    <mergeCell ref="F6:F7"/>
    <mergeCell ref="G6:G7"/>
    <mergeCell ref="H6:H7"/>
    <mergeCell ref="D8:D9"/>
    <mergeCell ref="E8:E9"/>
    <mergeCell ref="F8:F9"/>
    <mergeCell ref="G8:G9"/>
    <mergeCell ref="H8:H9"/>
    <mergeCell ref="D2:D3"/>
    <mergeCell ref="E2:E3"/>
    <mergeCell ref="F2:F3"/>
    <mergeCell ref="G2:G3"/>
    <mergeCell ref="H2:H3"/>
    <mergeCell ref="D4:D5"/>
    <mergeCell ref="E4:E5"/>
    <mergeCell ref="F4:F5"/>
    <mergeCell ref="G4:G5"/>
    <mergeCell ref="H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8245-F09D-49B9-B889-B7278D240CDE}">
  <dimension ref="A1:F11"/>
  <sheetViews>
    <sheetView workbookViewId="0">
      <selection activeCell="F2" sqref="F2:F11"/>
    </sheetView>
  </sheetViews>
  <sheetFormatPr baseColWidth="10" defaultRowHeight="14.6" x14ac:dyDescent="0.4"/>
  <sheetData>
    <row r="1" spans="1:6" ht="15" thickBot="1" x14ac:dyDescent="0.45">
      <c r="A1" t="s">
        <v>0</v>
      </c>
      <c r="B1" t="s">
        <v>1</v>
      </c>
      <c r="C1" t="s">
        <v>22</v>
      </c>
      <c r="D1" t="s">
        <v>24</v>
      </c>
      <c r="E1" t="s">
        <v>25</v>
      </c>
      <c r="F1" t="s">
        <v>23</v>
      </c>
    </row>
    <row r="2" spans="1:6" x14ac:dyDescent="0.4">
      <c r="A2" s="1" t="s">
        <v>20</v>
      </c>
      <c r="B2" s="2" t="s">
        <v>21</v>
      </c>
      <c r="C2" s="3">
        <v>263902</v>
      </c>
      <c r="D2" s="7">
        <v>1</v>
      </c>
      <c r="E2" s="8">
        <v>0.7</v>
      </c>
      <c r="F2" s="8">
        <f>(D2+E2)/2</f>
        <v>0.85</v>
      </c>
    </row>
    <row r="3" spans="1:6" ht="15" thickBot="1" x14ac:dyDescent="0.45">
      <c r="A3" s="4" t="s">
        <v>16</v>
      </c>
      <c r="B3" s="5" t="s">
        <v>17</v>
      </c>
      <c r="C3" s="6">
        <v>269101</v>
      </c>
      <c r="D3" s="7"/>
      <c r="E3" s="8"/>
      <c r="F3" s="8"/>
    </row>
    <row r="4" spans="1:6" x14ac:dyDescent="0.4">
      <c r="A4" s="1" t="s">
        <v>2</v>
      </c>
      <c r="B4" s="2" t="s">
        <v>3</v>
      </c>
      <c r="C4" s="3">
        <v>267980</v>
      </c>
      <c r="D4" s="7">
        <v>0.7</v>
      </c>
      <c r="E4" s="8">
        <v>0.7</v>
      </c>
      <c r="F4" s="8">
        <f t="shared" ref="F4" si="0">(D4+E4)/2</f>
        <v>0.7</v>
      </c>
    </row>
    <row r="5" spans="1:6" ht="15" thickBot="1" x14ac:dyDescent="0.45">
      <c r="A5" s="4" t="s">
        <v>6</v>
      </c>
      <c r="B5" s="5" t="s">
        <v>7</v>
      </c>
      <c r="C5" s="6">
        <v>240221</v>
      </c>
      <c r="D5" s="7"/>
      <c r="E5" s="8"/>
      <c r="F5" s="8"/>
    </row>
    <row r="6" spans="1:6" x14ac:dyDescent="0.4">
      <c r="A6" s="1" t="s">
        <v>18</v>
      </c>
      <c r="B6" s="2" t="s">
        <v>19</v>
      </c>
      <c r="C6" s="3">
        <v>269225</v>
      </c>
      <c r="D6" s="7">
        <v>1</v>
      </c>
      <c r="E6" s="8">
        <v>1</v>
      </c>
      <c r="F6" s="8">
        <f t="shared" ref="F6" si="1">(D6+E6)/2</f>
        <v>1</v>
      </c>
    </row>
    <row r="7" spans="1:6" ht="15" thickBot="1" x14ac:dyDescent="0.45">
      <c r="A7" s="4" t="s">
        <v>10</v>
      </c>
      <c r="B7" s="5" t="s">
        <v>11</v>
      </c>
      <c r="C7" s="6">
        <v>266532</v>
      </c>
      <c r="D7" s="7"/>
      <c r="E7" s="8"/>
      <c r="F7" s="8"/>
    </row>
    <row r="8" spans="1:6" x14ac:dyDescent="0.4">
      <c r="A8" s="1" t="s">
        <v>4</v>
      </c>
      <c r="B8" s="2" t="s">
        <v>5</v>
      </c>
      <c r="C8" s="3">
        <v>267689</v>
      </c>
      <c r="D8" s="7">
        <v>1</v>
      </c>
      <c r="E8" s="8">
        <v>1</v>
      </c>
      <c r="F8" s="8">
        <f t="shared" ref="F8" si="2">(D8+E8)/2</f>
        <v>1</v>
      </c>
    </row>
    <row r="9" spans="1:6" ht="15" thickBot="1" x14ac:dyDescent="0.45">
      <c r="A9" s="4" t="s">
        <v>12</v>
      </c>
      <c r="B9" s="5" t="s">
        <v>13</v>
      </c>
      <c r="C9" s="6">
        <v>234727</v>
      </c>
      <c r="D9" s="7"/>
      <c r="E9" s="8"/>
      <c r="F9" s="8"/>
    </row>
    <row r="10" spans="1:6" x14ac:dyDescent="0.4">
      <c r="A10" s="1" t="s">
        <v>8</v>
      </c>
      <c r="B10" s="2" t="s">
        <v>9</v>
      </c>
      <c r="C10" s="3">
        <v>261343</v>
      </c>
      <c r="D10" s="7">
        <v>1</v>
      </c>
      <c r="E10" s="8">
        <v>1</v>
      </c>
      <c r="F10" s="8">
        <f t="shared" ref="F10" si="3">(D10+E10)/2</f>
        <v>1</v>
      </c>
    </row>
    <row r="11" spans="1:6" ht="15" thickBot="1" x14ac:dyDescent="0.45">
      <c r="A11" s="4" t="s">
        <v>14</v>
      </c>
      <c r="B11" s="5" t="s">
        <v>15</v>
      </c>
      <c r="C11" s="6">
        <v>269112</v>
      </c>
      <c r="D11" s="7"/>
      <c r="E11" s="8"/>
      <c r="F11" s="8"/>
    </row>
  </sheetData>
  <mergeCells count="15">
    <mergeCell ref="D10:D11"/>
    <mergeCell ref="E10:E11"/>
    <mergeCell ref="F10:F11"/>
    <mergeCell ref="D8:D9"/>
    <mergeCell ref="E8:E9"/>
    <mergeCell ref="F8:F9"/>
    <mergeCell ref="D6:D7"/>
    <mergeCell ref="E6:E7"/>
    <mergeCell ref="F6:F7"/>
    <mergeCell ref="D4:D5"/>
    <mergeCell ref="E4:E5"/>
    <mergeCell ref="F4:F5"/>
    <mergeCell ref="D2:D3"/>
    <mergeCell ref="E2:E3"/>
    <mergeCell ref="F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CB54-6D41-4464-A8D6-C426B6965A9D}">
  <dimension ref="A1:I12"/>
  <sheetViews>
    <sheetView tabSelected="1" workbookViewId="0">
      <pane xSplit="3" ySplit="2" topLeftCell="E3" activePane="bottomRight" state="frozen"/>
      <selection pane="topRight" activeCell="D1" sqref="D1"/>
      <selection pane="bottomLeft" activeCell="A2" sqref="A2"/>
      <selection pane="bottomRight" activeCell="I3" sqref="I3:I12"/>
    </sheetView>
  </sheetViews>
  <sheetFormatPr baseColWidth="10" defaultRowHeight="14.6" x14ac:dyDescent="0.4"/>
  <cols>
    <col min="5" max="5" width="12.3046875" customWidth="1"/>
    <col min="8" max="8" width="13.84375" customWidth="1"/>
    <col min="9" max="9" width="13.3046875" customWidth="1"/>
  </cols>
  <sheetData>
    <row r="1" spans="1:9" x14ac:dyDescent="0.4">
      <c r="G1" s="8" t="s">
        <v>38</v>
      </c>
      <c r="H1" s="8"/>
    </row>
    <row r="2" spans="1:9" ht="15" thickBot="1" x14ac:dyDescent="0.45">
      <c r="A2" t="s">
        <v>0</v>
      </c>
      <c r="B2" t="s">
        <v>1</v>
      </c>
      <c r="C2" t="s">
        <v>22</v>
      </c>
      <c r="D2" t="s">
        <v>36</v>
      </c>
      <c r="E2" t="s">
        <v>37</v>
      </c>
      <c r="F2" t="s">
        <v>35</v>
      </c>
      <c r="G2" t="s">
        <v>39</v>
      </c>
      <c r="H2" t="s">
        <v>40</v>
      </c>
      <c r="I2" t="s">
        <v>41</v>
      </c>
    </row>
    <row r="3" spans="1:9" x14ac:dyDescent="0.4">
      <c r="A3" s="1" t="s">
        <v>20</v>
      </c>
      <c r="B3" s="2" t="s">
        <v>21</v>
      </c>
      <c r="C3" s="3">
        <v>263902</v>
      </c>
      <c r="D3" s="8">
        <v>1</v>
      </c>
      <c r="E3" s="8">
        <v>1</v>
      </c>
      <c r="F3" s="8">
        <v>0.85</v>
      </c>
      <c r="G3" s="8">
        <v>0.8</v>
      </c>
      <c r="H3" s="8">
        <v>1</v>
      </c>
      <c r="I3" s="8">
        <f>(D3+E3+F3)/3*2</f>
        <v>1.9000000000000001</v>
      </c>
    </row>
    <row r="4" spans="1:9" ht="15" thickBot="1" x14ac:dyDescent="0.45">
      <c r="A4" s="4" t="s">
        <v>16</v>
      </c>
      <c r="B4" s="5" t="s">
        <v>17</v>
      </c>
      <c r="C4" s="6">
        <v>269101</v>
      </c>
      <c r="D4" s="8"/>
      <c r="E4" s="8"/>
      <c r="F4" s="8"/>
      <c r="G4" s="8"/>
      <c r="H4" s="8"/>
      <c r="I4" s="8"/>
    </row>
    <row r="5" spans="1:9" x14ac:dyDescent="0.4">
      <c r="A5" s="1" t="s">
        <v>2</v>
      </c>
      <c r="B5" s="2" t="s">
        <v>3</v>
      </c>
      <c r="C5" s="3">
        <v>267980</v>
      </c>
      <c r="D5" s="8">
        <v>1</v>
      </c>
      <c r="E5" s="8">
        <v>1</v>
      </c>
      <c r="F5" s="8">
        <v>0.7</v>
      </c>
      <c r="G5" s="8">
        <v>1</v>
      </c>
      <c r="H5" s="8">
        <v>1</v>
      </c>
      <c r="I5" s="8">
        <f t="shared" ref="I5:I12" si="0">(D5+E5+F5)/3*2</f>
        <v>1.8</v>
      </c>
    </row>
    <row r="6" spans="1:9" ht="15" thickBot="1" x14ac:dyDescent="0.45">
      <c r="A6" s="4" t="s">
        <v>6</v>
      </c>
      <c r="B6" s="5" t="s">
        <v>7</v>
      </c>
      <c r="C6" s="6">
        <v>240221</v>
      </c>
      <c r="D6" s="8"/>
      <c r="E6" s="8"/>
      <c r="F6" s="8"/>
      <c r="G6" s="8"/>
      <c r="H6" s="8"/>
      <c r="I6" s="8"/>
    </row>
    <row r="7" spans="1:9" x14ac:dyDescent="0.4">
      <c r="A7" s="1" t="s">
        <v>18</v>
      </c>
      <c r="B7" s="2" t="s">
        <v>19</v>
      </c>
      <c r="C7" s="3">
        <v>269225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f t="shared" ref="I7:I12" si="1">(D7+E7+F7)/3*2</f>
        <v>2</v>
      </c>
    </row>
    <row r="8" spans="1:9" ht="15" thickBot="1" x14ac:dyDescent="0.45">
      <c r="A8" s="4" t="s">
        <v>10</v>
      </c>
      <c r="B8" s="5" t="s">
        <v>11</v>
      </c>
      <c r="C8" s="6">
        <v>266532</v>
      </c>
      <c r="D8" s="8"/>
      <c r="E8" s="8"/>
      <c r="F8" s="8"/>
      <c r="G8" s="8"/>
      <c r="H8" s="8"/>
      <c r="I8" s="8"/>
    </row>
    <row r="9" spans="1:9" x14ac:dyDescent="0.4">
      <c r="A9" s="1" t="s">
        <v>4</v>
      </c>
      <c r="B9" s="2" t="s">
        <v>5</v>
      </c>
      <c r="C9" s="3">
        <v>267689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f t="shared" ref="I9:I12" si="2">(D9+E9+F9)/3*2</f>
        <v>2</v>
      </c>
    </row>
    <row r="10" spans="1:9" ht="15" thickBot="1" x14ac:dyDescent="0.45">
      <c r="A10" s="4" t="s">
        <v>12</v>
      </c>
      <c r="B10" s="5" t="s">
        <v>13</v>
      </c>
      <c r="C10" s="6">
        <v>234727</v>
      </c>
      <c r="D10" s="8"/>
      <c r="E10" s="8"/>
      <c r="F10" s="8"/>
      <c r="G10" s="8"/>
      <c r="H10" s="8"/>
      <c r="I10" s="8"/>
    </row>
    <row r="11" spans="1:9" x14ac:dyDescent="0.4">
      <c r="A11" s="1" t="s">
        <v>8</v>
      </c>
      <c r="B11" s="2" t="s">
        <v>9</v>
      </c>
      <c r="C11" s="3">
        <v>261343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f t="shared" ref="I11:I12" si="3">(D11+E11+F11)/3*2</f>
        <v>2</v>
      </c>
    </row>
    <row r="12" spans="1:9" ht="15" thickBot="1" x14ac:dyDescent="0.45">
      <c r="A12" s="4" t="s">
        <v>14</v>
      </c>
      <c r="B12" s="5" t="s">
        <v>15</v>
      </c>
      <c r="C12" s="6">
        <v>269112</v>
      </c>
      <c r="D12" s="8"/>
      <c r="E12" s="8"/>
      <c r="F12" s="8"/>
      <c r="G12" s="8"/>
      <c r="H12" s="8"/>
      <c r="I12" s="8"/>
    </row>
  </sheetData>
  <mergeCells count="31">
    <mergeCell ref="G1:H1"/>
    <mergeCell ref="I3:I4"/>
    <mergeCell ref="I5:I6"/>
    <mergeCell ref="I7:I8"/>
    <mergeCell ref="I9:I10"/>
    <mergeCell ref="I11:I12"/>
    <mergeCell ref="H3:H4"/>
    <mergeCell ref="H5:H6"/>
    <mergeCell ref="H7:H8"/>
    <mergeCell ref="H9:H10"/>
    <mergeCell ref="H11:H12"/>
    <mergeCell ref="G3:G4"/>
    <mergeCell ref="G5:G6"/>
    <mergeCell ref="G7:G8"/>
    <mergeCell ref="G9:G10"/>
    <mergeCell ref="G11:G12"/>
    <mergeCell ref="F3:F4"/>
    <mergeCell ref="F5:F6"/>
    <mergeCell ref="F7:F8"/>
    <mergeCell ref="F9:F10"/>
    <mergeCell ref="F11:F12"/>
    <mergeCell ref="E3:E4"/>
    <mergeCell ref="E5:E6"/>
    <mergeCell ref="E7:E8"/>
    <mergeCell ref="E9:E10"/>
    <mergeCell ref="E11:E12"/>
    <mergeCell ref="D3:D4"/>
    <mergeCell ref="D5:D6"/>
    <mergeCell ref="D7:D8"/>
    <mergeCell ref="D9:D10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Onda</vt:lpstr>
      <vt:lpstr>Difusion</vt:lpstr>
      <vt:lpstr>Delay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Lince</dc:creator>
  <cp:lastModifiedBy>EDUARDO LINCE GOMEZ</cp:lastModifiedBy>
  <dcterms:created xsi:type="dcterms:W3CDTF">2015-06-05T18:19:34Z</dcterms:created>
  <dcterms:modified xsi:type="dcterms:W3CDTF">2025-12-07T22:49:15Z</dcterms:modified>
</cp:coreProperties>
</file>