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Ecuaciones_Diferenciales_y_Metodos_Numericos\Curso\"/>
    </mc:Choice>
  </mc:AlternateContent>
  <xr:revisionPtr revIDLastSave="0" documentId="13_ncr:1_{F0CF109D-5967-4EA2-A9FC-8600AD6F404C}" xr6:coauthVersionLast="47" xr6:coauthVersionMax="47" xr10:uidLastSave="{00000000-0000-0000-0000-000000000000}"/>
  <bookViews>
    <workbookView xWindow="8983" yWindow="634" windowWidth="18643" windowHeight="9995" firstSheet="5" activeTab="7" xr2:uid="{00000000-000D-0000-FFFF-FFFF00000000}"/>
  </bookViews>
  <sheets>
    <sheet name="Runge-Kutta_Implicitos" sheetId="10" r:id="rId1"/>
    <sheet name="PenduloSimple-PotencialDoblePoz" sheetId="8" r:id="rId2"/>
    <sheet name="PenduloDoble" sheetId="9" r:id="rId3"/>
    <sheet name="ModelosCaoticos" sheetId="1" r:id="rId4"/>
    <sheet name="Modelos-Infecciones" sheetId="2" r:id="rId5"/>
    <sheet name="GraficaCiclica" sheetId="3" r:id="rId6"/>
    <sheet name="Apoptosis" sheetId="4" r:id="rId7"/>
    <sheet name="Final" sheetId="6" r:id="rId8"/>
    <sheet name="Examen2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6" l="1"/>
  <c r="O6" i="6"/>
  <c r="O8" i="6"/>
  <c r="O10" i="6"/>
  <c r="O2" i="6"/>
  <c r="M4" i="6"/>
  <c r="M6" i="6"/>
  <c r="M8" i="6"/>
  <c r="M10" i="6"/>
  <c r="M2" i="6"/>
  <c r="G4" i="10"/>
  <c r="G6" i="10"/>
  <c r="G8" i="10"/>
  <c r="G10" i="10"/>
  <c r="G2" i="10"/>
  <c r="H4" i="8"/>
  <c r="H6" i="8"/>
  <c r="H8" i="8"/>
  <c r="H10" i="8"/>
  <c r="H2" i="8"/>
  <c r="K4" i="9"/>
  <c r="K6" i="9"/>
  <c r="K8" i="9"/>
  <c r="K10" i="9"/>
  <c r="K2" i="9"/>
  <c r="F4" i="1"/>
  <c r="F6" i="1"/>
  <c r="F8" i="1"/>
  <c r="F10" i="1"/>
  <c r="F2" i="1"/>
  <c r="H4" i="2"/>
  <c r="H6" i="2"/>
  <c r="H8" i="2"/>
  <c r="H10" i="2"/>
  <c r="H2" i="2"/>
  <c r="S5" i="5"/>
  <c r="S7" i="5"/>
  <c r="S9" i="5"/>
  <c r="S11" i="5"/>
  <c r="S3" i="5"/>
  <c r="H10" i="4"/>
  <c r="H8" i="4"/>
  <c r="H6" i="4"/>
  <c r="H4" i="4"/>
  <c r="H2" i="4"/>
  <c r="F4" i="3"/>
  <c r="F6" i="3"/>
  <c r="F8" i="3"/>
  <c r="F10" i="3"/>
  <c r="F2" i="3"/>
</calcChain>
</file>

<file path=xl/sharedStrings.xml><?xml version="1.0" encoding="utf-8"?>
<sst xmlns="http://schemas.openxmlformats.org/spreadsheetml/2006/main" count="261" uniqueCount="57">
  <si>
    <t>Apellido</t>
  </si>
  <si>
    <t>Nombre</t>
  </si>
  <si>
    <t>Bolaños Cortés</t>
  </si>
  <si>
    <t>Ain</t>
  </si>
  <si>
    <t>Eguiarte Maldonado</t>
  </si>
  <si>
    <t>Esteban</t>
  </si>
  <si>
    <t>Gutiérrez Jiménez</t>
  </si>
  <si>
    <t>Jorge Eduardo</t>
  </si>
  <si>
    <t>Malpica Blackaller</t>
  </si>
  <si>
    <t>Natalia</t>
  </si>
  <si>
    <t>Martínez Mendoza</t>
  </si>
  <si>
    <t>Diego</t>
  </si>
  <si>
    <t>Quirós Asprón</t>
  </si>
  <si>
    <t>Mateo</t>
  </si>
  <si>
    <t>Ramírez Nieto</t>
  </si>
  <si>
    <t>Leyre Anayantzin</t>
  </si>
  <si>
    <t>Sánchez Esparza</t>
  </si>
  <si>
    <t>Mariana</t>
  </si>
  <si>
    <t>Solís Ruiz</t>
  </si>
  <si>
    <t>Alen Jerson</t>
  </si>
  <si>
    <t>Vargas Alemán</t>
  </si>
  <si>
    <t>Abel</t>
  </si>
  <si>
    <t xml:space="preserve">ID </t>
  </si>
  <si>
    <t>Total</t>
  </si>
  <si>
    <t>Ejercicio1</t>
  </si>
  <si>
    <t>Ejercicio2</t>
  </si>
  <si>
    <t>Ejercicio3</t>
  </si>
  <si>
    <t xml:space="preserve">Total </t>
  </si>
  <si>
    <t>Examen</t>
  </si>
  <si>
    <t>Final</t>
  </si>
  <si>
    <t>Apoptosis</t>
  </si>
  <si>
    <t>GraficaCiclica</t>
  </si>
  <si>
    <t>Modelos-Infecciones</t>
  </si>
  <si>
    <t>ModelosCaoticos</t>
  </si>
  <si>
    <t>PenduloDoble</t>
  </si>
  <si>
    <t>PenduloSimple-PotencialDoblePozo</t>
  </si>
  <si>
    <t>Reaccion quimica</t>
  </si>
  <si>
    <t>Runge-Kutta_Implicitos</t>
  </si>
  <si>
    <t>Ejercicio4</t>
  </si>
  <si>
    <t>Problema 1</t>
  </si>
  <si>
    <t>Ej1</t>
  </si>
  <si>
    <t>Ej2</t>
  </si>
  <si>
    <t>Ej3</t>
  </si>
  <si>
    <t>Ej4</t>
  </si>
  <si>
    <t>Problema 2</t>
  </si>
  <si>
    <t>Ej5</t>
  </si>
  <si>
    <t>Eja</t>
  </si>
  <si>
    <t>Ejb</t>
  </si>
  <si>
    <t>Ejc</t>
  </si>
  <si>
    <t>Ejd</t>
  </si>
  <si>
    <t>Eje</t>
  </si>
  <si>
    <t>Ejf</t>
  </si>
  <si>
    <t>Problema 3</t>
  </si>
  <si>
    <t>Ej6</t>
  </si>
  <si>
    <t>Ej7</t>
  </si>
  <si>
    <t>Final + Extra</t>
  </si>
  <si>
    <t>Puntos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</si>
</sst>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41C9-C3F0-4AC5-8DF8-256D82083942}">
  <dimension ref="A1:G11"/>
  <sheetViews>
    <sheetView workbookViewId="0">
      <selection activeCell="G2" sqref="G2:G11"/>
    </sheetView>
  </sheetViews>
  <sheetFormatPr baseColWidth="10" defaultRowHeight="14.6" x14ac:dyDescent="0.4"/>
  <sheetData>
    <row r="1" spans="1:7" ht="15" thickBot="1" x14ac:dyDescent="0.45">
      <c r="A1" t="s">
        <v>0</v>
      </c>
      <c r="B1" t="s">
        <v>1</v>
      </c>
      <c r="C1" t="s">
        <v>22</v>
      </c>
      <c r="D1" t="s">
        <v>24</v>
      </c>
      <c r="E1" t="s">
        <v>25</v>
      </c>
      <c r="F1" t="s">
        <v>26</v>
      </c>
      <c r="G1" t="s">
        <v>23</v>
      </c>
    </row>
    <row r="2" spans="1:7" x14ac:dyDescent="0.4">
      <c r="A2" s="1" t="s">
        <v>20</v>
      </c>
      <c r="B2" s="2" t="s">
        <v>21</v>
      </c>
      <c r="C2" s="3">
        <v>263902</v>
      </c>
      <c r="D2" s="8">
        <v>1</v>
      </c>
      <c r="E2" s="9">
        <v>1</v>
      </c>
      <c r="F2" s="9">
        <v>1</v>
      </c>
      <c r="G2" s="9">
        <f>(D2+E2+F2)/3</f>
        <v>1</v>
      </c>
    </row>
    <row r="3" spans="1:7" ht="15" thickBot="1" x14ac:dyDescent="0.45">
      <c r="A3" s="4" t="s">
        <v>16</v>
      </c>
      <c r="B3" s="5" t="s">
        <v>17</v>
      </c>
      <c r="C3" s="6">
        <v>269101</v>
      </c>
      <c r="D3" s="8"/>
      <c r="E3" s="9"/>
      <c r="F3" s="9"/>
      <c r="G3" s="9"/>
    </row>
    <row r="4" spans="1:7" x14ac:dyDescent="0.4">
      <c r="A4" s="1" t="s">
        <v>2</v>
      </c>
      <c r="B4" s="2" t="s">
        <v>3</v>
      </c>
      <c r="C4" s="3">
        <v>267980</v>
      </c>
      <c r="D4" s="8">
        <v>0</v>
      </c>
      <c r="E4" s="9">
        <v>1</v>
      </c>
      <c r="F4" s="9">
        <v>1</v>
      </c>
      <c r="G4" s="9">
        <f t="shared" ref="G4" si="0">(D4+E4+F4)/3</f>
        <v>0.66666666666666663</v>
      </c>
    </row>
    <row r="5" spans="1:7" ht="15" thickBot="1" x14ac:dyDescent="0.45">
      <c r="A5" s="4" t="s">
        <v>6</v>
      </c>
      <c r="B5" s="5" t="s">
        <v>7</v>
      </c>
      <c r="C5" s="6">
        <v>240221</v>
      </c>
      <c r="D5" s="8"/>
      <c r="E5" s="9"/>
      <c r="F5" s="9"/>
      <c r="G5" s="9"/>
    </row>
    <row r="6" spans="1:7" x14ac:dyDescent="0.4">
      <c r="A6" s="1" t="s">
        <v>18</v>
      </c>
      <c r="B6" s="2" t="s">
        <v>19</v>
      </c>
      <c r="C6" s="3">
        <v>269225</v>
      </c>
      <c r="D6" s="8">
        <v>1</v>
      </c>
      <c r="E6" s="9">
        <v>1</v>
      </c>
      <c r="F6" s="9">
        <v>1</v>
      </c>
      <c r="G6" s="9">
        <f t="shared" ref="G6" si="1">(D6+E6+F6)/3</f>
        <v>1</v>
      </c>
    </row>
    <row r="7" spans="1:7" ht="15" thickBot="1" x14ac:dyDescent="0.45">
      <c r="A7" s="4" t="s">
        <v>10</v>
      </c>
      <c r="B7" s="5" t="s">
        <v>11</v>
      </c>
      <c r="C7" s="6">
        <v>266532</v>
      </c>
      <c r="D7" s="8"/>
      <c r="E7" s="9"/>
      <c r="F7" s="9"/>
      <c r="G7" s="9"/>
    </row>
    <row r="8" spans="1:7" x14ac:dyDescent="0.4">
      <c r="A8" s="1" t="s">
        <v>4</v>
      </c>
      <c r="B8" s="2" t="s">
        <v>5</v>
      </c>
      <c r="C8" s="3">
        <v>267689</v>
      </c>
      <c r="D8" s="8">
        <v>1</v>
      </c>
      <c r="E8" s="9">
        <v>1</v>
      </c>
      <c r="F8" s="9">
        <v>1</v>
      </c>
      <c r="G8" s="9">
        <f t="shared" ref="G8" si="2">(D8+E8+F8)/3</f>
        <v>1</v>
      </c>
    </row>
    <row r="9" spans="1:7" ht="15" thickBot="1" x14ac:dyDescent="0.45">
      <c r="A9" s="4" t="s">
        <v>12</v>
      </c>
      <c r="B9" s="5" t="s">
        <v>13</v>
      </c>
      <c r="C9" s="6">
        <v>234727</v>
      </c>
      <c r="D9" s="8"/>
      <c r="E9" s="9"/>
      <c r="F9" s="9"/>
      <c r="G9" s="9"/>
    </row>
    <row r="10" spans="1:7" x14ac:dyDescent="0.4">
      <c r="A10" s="1" t="s">
        <v>8</v>
      </c>
      <c r="B10" s="2" t="s">
        <v>9</v>
      </c>
      <c r="C10" s="3">
        <v>261343</v>
      </c>
      <c r="D10" s="8">
        <v>1</v>
      </c>
      <c r="E10" s="9">
        <v>1</v>
      </c>
      <c r="F10" s="9">
        <v>1</v>
      </c>
      <c r="G10" s="9">
        <f t="shared" ref="G10" si="3">(D10+E10+F10)/3</f>
        <v>1</v>
      </c>
    </row>
    <row r="11" spans="1:7" ht="15" thickBot="1" x14ac:dyDescent="0.45">
      <c r="A11" s="4" t="s">
        <v>14</v>
      </c>
      <c r="B11" s="5" t="s">
        <v>15</v>
      </c>
      <c r="C11" s="6">
        <v>269112</v>
      </c>
      <c r="D11" s="8"/>
      <c r="E11" s="9"/>
      <c r="F11" s="9"/>
      <c r="G11" s="9"/>
    </row>
  </sheetData>
  <mergeCells count="20">
    <mergeCell ref="D10:D11"/>
    <mergeCell ref="E10:E11"/>
    <mergeCell ref="G10:G11"/>
    <mergeCell ref="F10:F11"/>
    <mergeCell ref="G6:G7"/>
    <mergeCell ref="G8:G9"/>
    <mergeCell ref="D6:D7"/>
    <mergeCell ref="E6:E7"/>
    <mergeCell ref="F6:F7"/>
    <mergeCell ref="D8:D9"/>
    <mergeCell ref="E8:E9"/>
    <mergeCell ref="F8:F9"/>
    <mergeCell ref="D2:D3"/>
    <mergeCell ref="E2:E3"/>
    <mergeCell ref="F2:F3"/>
    <mergeCell ref="G2:G3"/>
    <mergeCell ref="D4:D5"/>
    <mergeCell ref="E4:E5"/>
    <mergeCell ref="G4:G5"/>
    <mergeCell ref="F4:F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5657-ED14-49F1-8508-FB64B12CAB9C}">
  <dimension ref="A1:H11"/>
  <sheetViews>
    <sheetView workbookViewId="0">
      <selection activeCell="H2" sqref="H2:H11"/>
    </sheetView>
  </sheetViews>
  <sheetFormatPr baseColWidth="10" defaultRowHeight="14.6" x14ac:dyDescent="0.4"/>
  <cols>
    <col min="8" max="8" width="7.15234375" customWidth="1"/>
  </cols>
  <sheetData>
    <row r="1" spans="1:8" ht="15" thickBot="1" x14ac:dyDescent="0.45">
      <c r="A1" t="s">
        <v>0</v>
      </c>
      <c r="B1" t="s">
        <v>1</v>
      </c>
      <c r="C1" t="s">
        <v>22</v>
      </c>
      <c r="D1" t="s">
        <v>24</v>
      </c>
      <c r="E1" t="s">
        <v>25</v>
      </c>
      <c r="F1" t="s">
        <v>26</v>
      </c>
      <c r="G1" t="s">
        <v>38</v>
      </c>
      <c r="H1" t="s">
        <v>23</v>
      </c>
    </row>
    <row r="2" spans="1:8" x14ac:dyDescent="0.4">
      <c r="A2" s="1" t="s">
        <v>20</v>
      </c>
      <c r="B2" s="2" t="s">
        <v>21</v>
      </c>
      <c r="C2" s="3">
        <v>263902</v>
      </c>
      <c r="D2" s="8">
        <v>1</v>
      </c>
      <c r="E2" s="9">
        <v>1</v>
      </c>
      <c r="F2" s="9">
        <v>1</v>
      </c>
      <c r="G2" s="9">
        <v>1</v>
      </c>
      <c r="H2" s="9">
        <f>(D2+E2+F2+G2)/4</f>
        <v>1</v>
      </c>
    </row>
    <row r="3" spans="1:8" ht="15" thickBot="1" x14ac:dyDescent="0.45">
      <c r="A3" s="4" t="s">
        <v>16</v>
      </c>
      <c r="B3" s="5" t="s">
        <v>17</v>
      </c>
      <c r="C3" s="6">
        <v>269101</v>
      </c>
      <c r="D3" s="8"/>
      <c r="E3" s="9"/>
      <c r="F3" s="9"/>
      <c r="G3" s="9"/>
      <c r="H3" s="9"/>
    </row>
    <row r="4" spans="1:8" x14ac:dyDescent="0.4">
      <c r="A4" s="1" t="s">
        <v>2</v>
      </c>
      <c r="B4" s="2" t="s">
        <v>3</v>
      </c>
      <c r="C4" s="3">
        <v>267980</v>
      </c>
      <c r="D4" s="8">
        <v>1</v>
      </c>
      <c r="E4" s="9">
        <v>0.5</v>
      </c>
      <c r="F4" s="9">
        <v>1</v>
      </c>
      <c r="G4" s="9">
        <v>1</v>
      </c>
      <c r="H4" s="9">
        <f t="shared" ref="H4" si="0">(D4+E4+F4+G4)/4</f>
        <v>0.875</v>
      </c>
    </row>
    <row r="5" spans="1:8" ht="15" thickBot="1" x14ac:dyDescent="0.45">
      <c r="A5" s="4" t="s">
        <v>6</v>
      </c>
      <c r="B5" s="5" t="s">
        <v>7</v>
      </c>
      <c r="C5" s="6">
        <v>240221</v>
      </c>
      <c r="D5" s="8"/>
      <c r="E5" s="9"/>
      <c r="F5" s="9"/>
      <c r="G5" s="9"/>
      <c r="H5" s="9"/>
    </row>
    <row r="6" spans="1:8" x14ac:dyDescent="0.4">
      <c r="A6" s="1" t="s">
        <v>18</v>
      </c>
      <c r="B6" s="2" t="s">
        <v>19</v>
      </c>
      <c r="C6" s="3">
        <v>269225</v>
      </c>
      <c r="D6" s="8">
        <v>1</v>
      </c>
      <c r="E6" s="9">
        <v>1</v>
      </c>
      <c r="F6" s="9">
        <v>1</v>
      </c>
      <c r="G6" s="9">
        <v>1</v>
      </c>
      <c r="H6" s="9">
        <f t="shared" ref="H6" si="1">(D6+E6+F6+G6)/4</f>
        <v>1</v>
      </c>
    </row>
    <row r="7" spans="1:8" ht="15" thickBot="1" x14ac:dyDescent="0.45">
      <c r="A7" s="4" t="s">
        <v>10</v>
      </c>
      <c r="B7" s="5" t="s">
        <v>11</v>
      </c>
      <c r="C7" s="6">
        <v>266532</v>
      </c>
      <c r="D7" s="8"/>
      <c r="E7" s="9"/>
      <c r="F7" s="9"/>
      <c r="G7" s="9"/>
      <c r="H7" s="9"/>
    </row>
    <row r="8" spans="1:8" x14ac:dyDescent="0.4">
      <c r="A8" s="1" t="s">
        <v>4</v>
      </c>
      <c r="B8" s="2" t="s">
        <v>5</v>
      </c>
      <c r="C8" s="3">
        <v>267689</v>
      </c>
      <c r="D8" s="8">
        <v>1</v>
      </c>
      <c r="E8" s="9">
        <v>1</v>
      </c>
      <c r="F8" s="9">
        <v>1</v>
      </c>
      <c r="G8" s="9">
        <v>1</v>
      </c>
      <c r="H8" s="9">
        <f t="shared" ref="H8" si="2">(D8+E8+F8+G8)/4</f>
        <v>1</v>
      </c>
    </row>
    <row r="9" spans="1:8" ht="15" thickBot="1" x14ac:dyDescent="0.45">
      <c r="A9" s="4" t="s">
        <v>12</v>
      </c>
      <c r="B9" s="5" t="s">
        <v>13</v>
      </c>
      <c r="C9" s="6">
        <v>234727</v>
      </c>
      <c r="D9" s="8"/>
      <c r="E9" s="9"/>
      <c r="F9" s="9"/>
      <c r="G9" s="9"/>
      <c r="H9" s="9"/>
    </row>
    <row r="10" spans="1:8" x14ac:dyDescent="0.4">
      <c r="A10" s="1" t="s">
        <v>8</v>
      </c>
      <c r="B10" s="2" t="s">
        <v>9</v>
      </c>
      <c r="C10" s="3">
        <v>261343</v>
      </c>
      <c r="D10" s="8">
        <v>1</v>
      </c>
      <c r="E10" s="9">
        <v>1</v>
      </c>
      <c r="F10" s="9">
        <v>1</v>
      </c>
      <c r="G10" s="9">
        <v>1</v>
      </c>
      <c r="H10" s="9">
        <f t="shared" ref="H10" si="3">(D10+E10+F10+G10)/4</f>
        <v>1</v>
      </c>
    </row>
    <row r="11" spans="1:8" ht="15" thickBot="1" x14ac:dyDescent="0.45">
      <c r="A11" s="4" t="s">
        <v>14</v>
      </c>
      <c r="B11" s="5" t="s">
        <v>15</v>
      </c>
      <c r="C11" s="6">
        <v>269112</v>
      </c>
      <c r="D11" s="8"/>
      <c r="E11" s="9"/>
      <c r="F11" s="9"/>
      <c r="G11" s="9"/>
      <c r="H11" s="9"/>
    </row>
  </sheetData>
  <mergeCells count="25">
    <mergeCell ref="D10:D11"/>
    <mergeCell ref="E10:E11"/>
    <mergeCell ref="F10:F11"/>
    <mergeCell ref="H10:H11"/>
    <mergeCell ref="D6:D7"/>
    <mergeCell ref="E6:E7"/>
    <mergeCell ref="F6:F7"/>
    <mergeCell ref="H6:H7"/>
    <mergeCell ref="D8:D9"/>
    <mergeCell ref="E8:E9"/>
    <mergeCell ref="F8:F9"/>
    <mergeCell ref="H8:H9"/>
    <mergeCell ref="G6:G7"/>
    <mergeCell ref="G8:G9"/>
    <mergeCell ref="G10:G11"/>
    <mergeCell ref="D2:D3"/>
    <mergeCell ref="E2:E3"/>
    <mergeCell ref="F2:F3"/>
    <mergeCell ref="H2:H3"/>
    <mergeCell ref="D4:D5"/>
    <mergeCell ref="E4:E5"/>
    <mergeCell ref="F4:F5"/>
    <mergeCell ref="H4:H5"/>
    <mergeCell ref="G2:G3"/>
    <mergeCell ref="G4:G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5605-C19F-438D-89DA-C5533131D22C}">
  <dimension ref="A1:K11"/>
  <sheetViews>
    <sheetView workbookViewId="0">
      <selection activeCell="K2" sqref="K2:K11"/>
    </sheetView>
  </sheetViews>
  <sheetFormatPr baseColWidth="10" defaultRowHeight="14.6" x14ac:dyDescent="0.4"/>
  <cols>
    <col min="4" max="4" width="3.53515625" customWidth="1"/>
    <col min="5" max="6" width="3.4609375" customWidth="1"/>
    <col min="7" max="8" width="3.61328125" customWidth="1"/>
    <col min="9" max="9" width="3.69140625" customWidth="1"/>
    <col min="10" max="10" width="3.765625" customWidth="1"/>
    <col min="11" max="11" width="5.765625" customWidth="1"/>
  </cols>
  <sheetData>
    <row r="1" spans="1:11" ht="15" thickBot="1" x14ac:dyDescent="0.45">
      <c r="A1" t="s">
        <v>0</v>
      </c>
      <c r="B1" t="s">
        <v>1</v>
      </c>
      <c r="C1" t="s">
        <v>22</v>
      </c>
      <c r="D1" t="s">
        <v>40</v>
      </c>
      <c r="E1" t="s">
        <v>41</v>
      </c>
      <c r="F1" t="s">
        <v>42</v>
      </c>
      <c r="G1" t="s">
        <v>43</v>
      </c>
      <c r="H1" t="s">
        <v>45</v>
      </c>
      <c r="I1" t="s">
        <v>53</v>
      </c>
      <c r="J1" t="s">
        <v>54</v>
      </c>
      <c r="K1" t="s">
        <v>23</v>
      </c>
    </row>
    <row r="2" spans="1:11" x14ac:dyDescent="0.4">
      <c r="A2" s="1" t="s">
        <v>20</v>
      </c>
      <c r="B2" s="2" t="s">
        <v>21</v>
      </c>
      <c r="C2" s="3">
        <v>263902</v>
      </c>
      <c r="D2" s="8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1</v>
      </c>
      <c r="K2" s="9">
        <f>(SUM(D2:J3)/6)</f>
        <v>1.1666666666666667</v>
      </c>
    </row>
    <row r="3" spans="1:11" ht="15" thickBot="1" x14ac:dyDescent="0.45">
      <c r="A3" s="4" t="s">
        <v>16</v>
      </c>
      <c r="B3" s="5" t="s">
        <v>17</v>
      </c>
      <c r="C3" s="6">
        <v>269101</v>
      </c>
      <c r="D3" s="8"/>
      <c r="E3" s="9"/>
      <c r="F3" s="9"/>
      <c r="G3" s="9"/>
      <c r="H3" s="9"/>
      <c r="I3" s="9"/>
      <c r="J3" s="9"/>
      <c r="K3" s="9"/>
    </row>
    <row r="4" spans="1:11" x14ac:dyDescent="0.4">
      <c r="A4" s="1" t="s">
        <v>2</v>
      </c>
      <c r="B4" s="2" t="s">
        <v>3</v>
      </c>
      <c r="C4" s="3">
        <v>267980</v>
      </c>
      <c r="D4" s="8">
        <v>1</v>
      </c>
      <c r="E4" s="9">
        <v>1</v>
      </c>
      <c r="F4" s="9">
        <v>1</v>
      </c>
      <c r="G4" s="9">
        <v>0</v>
      </c>
      <c r="H4" s="9">
        <v>1</v>
      </c>
      <c r="I4" s="9">
        <v>1</v>
      </c>
      <c r="J4" s="9">
        <v>1</v>
      </c>
      <c r="K4" s="9">
        <f t="shared" ref="K4" si="0">(SUM(D4:J5)/6)</f>
        <v>1</v>
      </c>
    </row>
    <row r="5" spans="1:11" ht="15" thickBot="1" x14ac:dyDescent="0.45">
      <c r="A5" s="4" t="s">
        <v>6</v>
      </c>
      <c r="B5" s="5" t="s">
        <v>7</v>
      </c>
      <c r="C5" s="6">
        <v>240221</v>
      </c>
      <c r="D5" s="8"/>
      <c r="E5" s="9"/>
      <c r="F5" s="9"/>
      <c r="G5" s="9"/>
      <c r="H5" s="9"/>
      <c r="I5" s="9"/>
      <c r="J5" s="9"/>
      <c r="K5" s="9"/>
    </row>
    <row r="6" spans="1:11" x14ac:dyDescent="0.4">
      <c r="A6" s="1" t="s">
        <v>18</v>
      </c>
      <c r="B6" s="2" t="s">
        <v>19</v>
      </c>
      <c r="C6" s="3">
        <v>269225</v>
      </c>
      <c r="D6" s="8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f t="shared" ref="K6" si="1">(SUM(D6:J7)/6)</f>
        <v>1.1666666666666667</v>
      </c>
    </row>
    <row r="7" spans="1:11" ht="15" thickBot="1" x14ac:dyDescent="0.45">
      <c r="A7" s="4" t="s">
        <v>10</v>
      </c>
      <c r="B7" s="5" t="s">
        <v>11</v>
      </c>
      <c r="C7" s="6">
        <v>266532</v>
      </c>
      <c r="D7" s="8"/>
      <c r="E7" s="9"/>
      <c r="F7" s="9"/>
      <c r="G7" s="9"/>
      <c r="H7" s="9"/>
      <c r="I7" s="9"/>
      <c r="J7" s="9"/>
      <c r="K7" s="9"/>
    </row>
    <row r="8" spans="1:11" x14ac:dyDescent="0.4">
      <c r="A8" s="1" t="s">
        <v>4</v>
      </c>
      <c r="B8" s="2" t="s">
        <v>5</v>
      </c>
      <c r="C8" s="3">
        <v>267689</v>
      </c>
      <c r="D8" s="8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f t="shared" ref="K8" si="2">(SUM(D8:J9)/6)</f>
        <v>1.1666666666666667</v>
      </c>
    </row>
    <row r="9" spans="1:11" ht="15" thickBot="1" x14ac:dyDescent="0.45">
      <c r="A9" s="4" t="s">
        <v>12</v>
      </c>
      <c r="B9" s="5" t="s">
        <v>13</v>
      </c>
      <c r="C9" s="6">
        <v>234727</v>
      </c>
      <c r="D9" s="8"/>
      <c r="E9" s="9"/>
      <c r="F9" s="9"/>
      <c r="G9" s="9"/>
      <c r="H9" s="9"/>
      <c r="I9" s="9"/>
      <c r="J9" s="9"/>
      <c r="K9" s="9"/>
    </row>
    <row r="10" spans="1:11" x14ac:dyDescent="0.4">
      <c r="A10" s="1" t="s">
        <v>8</v>
      </c>
      <c r="B10" s="2" t="s">
        <v>9</v>
      </c>
      <c r="C10" s="3">
        <v>261343</v>
      </c>
      <c r="D10" s="8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f t="shared" ref="K10" si="3">(SUM(D10:J11)/6)</f>
        <v>1.1666666666666667</v>
      </c>
    </row>
    <row r="11" spans="1:11" ht="15" thickBot="1" x14ac:dyDescent="0.45">
      <c r="A11" s="4" t="s">
        <v>14</v>
      </c>
      <c r="B11" s="5" t="s">
        <v>15</v>
      </c>
      <c r="C11" s="6">
        <v>269112</v>
      </c>
      <c r="D11" s="8"/>
      <c r="E11" s="9"/>
      <c r="F11" s="9"/>
      <c r="G11" s="9"/>
      <c r="H11" s="9"/>
      <c r="I11" s="9"/>
      <c r="J11" s="9"/>
      <c r="K11" s="9"/>
    </row>
  </sheetData>
  <mergeCells count="40">
    <mergeCell ref="H8:H9"/>
    <mergeCell ref="H10:H11"/>
    <mergeCell ref="I6:I7"/>
    <mergeCell ref="I8:I9"/>
    <mergeCell ref="I10:I11"/>
    <mergeCell ref="J6:J7"/>
    <mergeCell ref="J8:J9"/>
    <mergeCell ref="J10:J11"/>
    <mergeCell ref="D10:D11"/>
    <mergeCell ref="E10:E11"/>
    <mergeCell ref="F10:F11"/>
    <mergeCell ref="K10:K11"/>
    <mergeCell ref="D6:D7"/>
    <mergeCell ref="E6:E7"/>
    <mergeCell ref="F6:F7"/>
    <mergeCell ref="K6:K7"/>
    <mergeCell ref="D8:D9"/>
    <mergeCell ref="E8:E9"/>
    <mergeCell ref="F8:F9"/>
    <mergeCell ref="K8:K9"/>
    <mergeCell ref="G6:G7"/>
    <mergeCell ref="G8:G9"/>
    <mergeCell ref="G10:G11"/>
    <mergeCell ref="H6:H7"/>
    <mergeCell ref="D2:D3"/>
    <mergeCell ref="E2:E3"/>
    <mergeCell ref="F2:F3"/>
    <mergeCell ref="K2:K3"/>
    <mergeCell ref="D4:D5"/>
    <mergeCell ref="E4:E5"/>
    <mergeCell ref="F4:F5"/>
    <mergeCell ref="K4:K5"/>
    <mergeCell ref="G2:G3"/>
    <mergeCell ref="G4:G5"/>
    <mergeCell ref="H2:H3"/>
    <mergeCell ref="H4:H5"/>
    <mergeCell ref="J2:J3"/>
    <mergeCell ref="J4:J5"/>
    <mergeCell ref="I2:I3"/>
    <mergeCell ref="I4:I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2" sqref="F2:F11"/>
    </sheetView>
  </sheetViews>
  <sheetFormatPr baseColWidth="10" defaultColWidth="9.23046875" defaultRowHeight="14.6" x14ac:dyDescent="0.4"/>
  <cols>
    <col min="1" max="1" width="20.84375" customWidth="1"/>
    <col min="2" max="2" width="17.84375" customWidth="1"/>
  </cols>
  <sheetData>
    <row r="1" spans="1:6" ht="15" thickBot="1" x14ac:dyDescent="0.45">
      <c r="A1" t="s">
        <v>0</v>
      </c>
      <c r="B1" t="s">
        <v>1</v>
      </c>
      <c r="C1" t="s">
        <v>22</v>
      </c>
      <c r="D1" t="s">
        <v>24</v>
      </c>
      <c r="E1" t="s">
        <v>25</v>
      </c>
      <c r="F1" t="s">
        <v>23</v>
      </c>
    </row>
    <row r="2" spans="1:6" x14ac:dyDescent="0.4">
      <c r="A2" s="1" t="s">
        <v>20</v>
      </c>
      <c r="B2" s="2" t="s">
        <v>21</v>
      </c>
      <c r="C2" s="3">
        <v>263902</v>
      </c>
      <c r="D2" s="8">
        <v>1</v>
      </c>
      <c r="E2" s="9">
        <v>0.5</v>
      </c>
      <c r="F2" s="9">
        <f>(D2+E2)/2</f>
        <v>0.75</v>
      </c>
    </row>
    <row r="3" spans="1:6" ht="15" thickBot="1" x14ac:dyDescent="0.45">
      <c r="A3" s="4" t="s">
        <v>16</v>
      </c>
      <c r="B3" s="5" t="s">
        <v>17</v>
      </c>
      <c r="C3" s="6">
        <v>269101</v>
      </c>
      <c r="D3" s="8"/>
      <c r="E3" s="9"/>
      <c r="F3" s="9"/>
    </row>
    <row r="4" spans="1:6" x14ac:dyDescent="0.4">
      <c r="A4" s="1" t="s">
        <v>2</v>
      </c>
      <c r="B4" s="2" t="s">
        <v>3</v>
      </c>
      <c r="C4" s="3">
        <v>267980</v>
      </c>
      <c r="D4" s="8">
        <v>1</v>
      </c>
      <c r="E4" s="9">
        <v>0.7</v>
      </c>
      <c r="F4" s="9">
        <f t="shared" ref="F4" si="0">(D4+E4)/2</f>
        <v>0.85</v>
      </c>
    </row>
    <row r="5" spans="1:6" ht="15" thickBot="1" x14ac:dyDescent="0.45">
      <c r="A5" s="4" t="s">
        <v>6</v>
      </c>
      <c r="B5" s="5" t="s">
        <v>7</v>
      </c>
      <c r="C5" s="6">
        <v>240221</v>
      </c>
      <c r="D5" s="8"/>
      <c r="E5" s="9"/>
      <c r="F5" s="9"/>
    </row>
    <row r="6" spans="1:6" x14ac:dyDescent="0.4">
      <c r="A6" s="1" t="s">
        <v>18</v>
      </c>
      <c r="B6" s="2" t="s">
        <v>19</v>
      </c>
      <c r="C6" s="3">
        <v>269225</v>
      </c>
      <c r="D6" s="8">
        <v>1</v>
      </c>
      <c r="E6" s="9">
        <v>0.5</v>
      </c>
      <c r="F6" s="9">
        <f t="shared" ref="F6" si="1">(D6+E6)/2</f>
        <v>0.75</v>
      </c>
    </row>
    <row r="7" spans="1:6" ht="15" thickBot="1" x14ac:dyDescent="0.45">
      <c r="A7" s="4" t="s">
        <v>10</v>
      </c>
      <c r="B7" s="5" t="s">
        <v>11</v>
      </c>
      <c r="C7" s="6">
        <v>266532</v>
      </c>
      <c r="D7" s="8"/>
      <c r="E7" s="9"/>
      <c r="F7" s="9"/>
    </row>
    <row r="8" spans="1:6" x14ac:dyDescent="0.4">
      <c r="A8" s="1" t="s">
        <v>4</v>
      </c>
      <c r="B8" s="2" t="s">
        <v>5</v>
      </c>
      <c r="C8" s="3">
        <v>267689</v>
      </c>
      <c r="D8" s="8">
        <v>1</v>
      </c>
      <c r="E8" s="9">
        <v>1</v>
      </c>
      <c r="F8" s="9">
        <f t="shared" ref="F8" si="2">(D8+E8)/2</f>
        <v>1</v>
      </c>
    </row>
    <row r="9" spans="1:6" ht="15" thickBot="1" x14ac:dyDescent="0.45">
      <c r="A9" s="4" t="s">
        <v>12</v>
      </c>
      <c r="B9" s="5" t="s">
        <v>13</v>
      </c>
      <c r="C9" s="6">
        <v>234727</v>
      </c>
      <c r="D9" s="8"/>
      <c r="E9" s="9"/>
      <c r="F9" s="9"/>
    </row>
    <row r="10" spans="1:6" x14ac:dyDescent="0.4">
      <c r="A10" s="1" t="s">
        <v>8</v>
      </c>
      <c r="B10" s="2" t="s">
        <v>9</v>
      </c>
      <c r="C10" s="3">
        <v>261343</v>
      </c>
      <c r="D10" s="8">
        <v>1</v>
      </c>
      <c r="E10" s="9">
        <v>1</v>
      </c>
      <c r="F10" s="9">
        <f t="shared" ref="F10" si="3">(D10+E10)/2</f>
        <v>1</v>
      </c>
    </row>
    <row r="11" spans="1:6" ht="15" thickBot="1" x14ac:dyDescent="0.45">
      <c r="A11" s="4" t="s">
        <v>14</v>
      </c>
      <c r="B11" s="5" t="s">
        <v>15</v>
      </c>
      <c r="C11" s="6">
        <v>269112</v>
      </c>
      <c r="D11" s="8"/>
      <c r="E11" s="9"/>
      <c r="F11" s="9"/>
    </row>
  </sheetData>
  <mergeCells count="15">
    <mergeCell ref="D10:D11"/>
    <mergeCell ref="E10:E11"/>
    <mergeCell ref="F10:F11"/>
    <mergeCell ref="D6:D7"/>
    <mergeCell ref="E6:E7"/>
    <mergeCell ref="F6:F7"/>
    <mergeCell ref="D8:D9"/>
    <mergeCell ref="E8:E9"/>
    <mergeCell ref="F8:F9"/>
    <mergeCell ref="D2:D3"/>
    <mergeCell ref="E2:E3"/>
    <mergeCell ref="F2:F3"/>
    <mergeCell ref="D4:D5"/>
    <mergeCell ref="E4:E5"/>
    <mergeCell ref="F4:F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3762-8C54-452B-82A3-78B52F4B728B}">
  <dimension ref="A1:H11"/>
  <sheetViews>
    <sheetView workbookViewId="0">
      <selection activeCell="H2" sqref="H2:H11"/>
    </sheetView>
  </sheetViews>
  <sheetFormatPr baseColWidth="10" defaultRowHeight="14.6" x14ac:dyDescent="0.4"/>
  <cols>
    <col min="1" max="1" width="18.69140625" customWidth="1"/>
    <col min="2" max="2" width="19.3046875" customWidth="1"/>
    <col min="3" max="3" width="17.07421875" customWidth="1"/>
    <col min="4" max="4" width="3.69140625" customWidth="1"/>
    <col min="5" max="5" width="4.3046875" customWidth="1"/>
    <col min="6" max="6" width="3.765625" customWidth="1"/>
    <col min="7" max="7" width="3.69140625" customWidth="1"/>
    <col min="8" max="8" width="5" bestFit="1" customWidth="1"/>
  </cols>
  <sheetData>
    <row r="1" spans="1:8" ht="15" thickBot="1" x14ac:dyDescent="0.45">
      <c r="A1" t="s">
        <v>0</v>
      </c>
      <c r="B1" t="s">
        <v>1</v>
      </c>
      <c r="C1" t="s">
        <v>22</v>
      </c>
      <c r="D1" t="s">
        <v>46</v>
      </c>
      <c r="E1" t="s">
        <v>47</v>
      </c>
      <c r="F1" t="s">
        <v>48</v>
      </c>
      <c r="G1" t="s">
        <v>49</v>
      </c>
      <c r="H1" t="s">
        <v>23</v>
      </c>
    </row>
    <row r="2" spans="1:8" x14ac:dyDescent="0.4">
      <c r="A2" s="1" t="s">
        <v>20</v>
      </c>
      <c r="B2" s="2" t="s">
        <v>21</v>
      </c>
      <c r="C2" s="3">
        <v>263902</v>
      </c>
      <c r="D2" s="8">
        <v>1</v>
      </c>
      <c r="E2" s="9">
        <v>1</v>
      </c>
      <c r="F2" s="9">
        <v>1</v>
      </c>
      <c r="G2" s="9">
        <v>1</v>
      </c>
      <c r="H2" s="9">
        <f>(D2+E2+G2+F2)/4</f>
        <v>1</v>
      </c>
    </row>
    <row r="3" spans="1:8" ht="15" thickBot="1" x14ac:dyDescent="0.45">
      <c r="A3" s="4" t="s">
        <v>16</v>
      </c>
      <c r="B3" s="5" t="s">
        <v>17</v>
      </c>
      <c r="C3" s="6">
        <v>269101</v>
      </c>
      <c r="D3" s="8"/>
      <c r="E3" s="9"/>
      <c r="F3" s="9"/>
      <c r="G3" s="9"/>
      <c r="H3" s="9"/>
    </row>
    <row r="4" spans="1:8" x14ac:dyDescent="0.4">
      <c r="A4" s="1" t="s">
        <v>2</v>
      </c>
      <c r="B4" s="2" t="s">
        <v>3</v>
      </c>
      <c r="C4" s="3">
        <v>267980</v>
      </c>
      <c r="D4" s="8">
        <v>0.8</v>
      </c>
      <c r="E4" s="9">
        <v>1</v>
      </c>
      <c r="F4" s="9">
        <v>1</v>
      </c>
      <c r="G4" s="9">
        <v>0</v>
      </c>
      <c r="H4" s="9">
        <f t="shared" ref="H4" si="0">(D4+E4+G4+F4)/4</f>
        <v>0.7</v>
      </c>
    </row>
    <row r="5" spans="1:8" ht="15" thickBot="1" x14ac:dyDescent="0.45">
      <c r="A5" s="4" t="s">
        <v>6</v>
      </c>
      <c r="B5" s="5" t="s">
        <v>7</v>
      </c>
      <c r="C5" s="6">
        <v>240221</v>
      </c>
      <c r="D5" s="8"/>
      <c r="E5" s="9"/>
      <c r="F5" s="9"/>
      <c r="G5" s="9"/>
      <c r="H5" s="9"/>
    </row>
    <row r="6" spans="1:8" x14ac:dyDescent="0.4">
      <c r="A6" s="1" t="s">
        <v>18</v>
      </c>
      <c r="B6" s="2" t="s">
        <v>19</v>
      </c>
      <c r="C6" s="3">
        <v>269225</v>
      </c>
      <c r="D6" s="8">
        <v>1</v>
      </c>
      <c r="E6" s="9">
        <v>1</v>
      </c>
      <c r="F6" s="9">
        <v>1</v>
      </c>
      <c r="G6" s="9">
        <v>1</v>
      </c>
      <c r="H6" s="9">
        <f t="shared" ref="H6" si="1">(D6+E6+G6+F6)/4</f>
        <v>1</v>
      </c>
    </row>
    <row r="7" spans="1:8" ht="15" thickBot="1" x14ac:dyDescent="0.45">
      <c r="A7" s="4" t="s">
        <v>10</v>
      </c>
      <c r="B7" s="5" t="s">
        <v>11</v>
      </c>
      <c r="C7" s="6">
        <v>266532</v>
      </c>
      <c r="D7" s="8"/>
      <c r="E7" s="9"/>
      <c r="F7" s="9"/>
      <c r="G7" s="9"/>
      <c r="H7" s="9"/>
    </row>
    <row r="8" spans="1:8" x14ac:dyDescent="0.4">
      <c r="A8" s="1" t="s">
        <v>4</v>
      </c>
      <c r="B8" s="2" t="s">
        <v>5</v>
      </c>
      <c r="C8" s="3">
        <v>267689</v>
      </c>
      <c r="D8" s="8">
        <v>1</v>
      </c>
      <c r="E8" s="9">
        <v>1</v>
      </c>
      <c r="F8" s="9">
        <v>1</v>
      </c>
      <c r="G8" s="9">
        <v>1</v>
      </c>
      <c r="H8" s="9">
        <f t="shared" ref="H8" si="2">(D8+E8+G8+F8)/4</f>
        <v>1</v>
      </c>
    </row>
    <row r="9" spans="1:8" ht="15" thickBot="1" x14ac:dyDescent="0.45">
      <c r="A9" s="4" t="s">
        <v>12</v>
      </c>
      <c r="B9" s="5" t="s">
        <v>13</v>
      </c>
      <c r="C9" s="6">
        <v>234727</v>
      </c>
      <c r="D9" s="8"/>
      <c r="E9" s="9"/>
      <c r="F9" s="9"/>
      <c r="G9" s="9"/>
      <c r="H9" s="9"/>
    </row>
    <row r="10" spans="1:8" x14ac:dyDescent="0.4">
      <c r="A10" s="1" t="s">
        <v>8</v>
      </c>
      <c r="B10" s="2" t="s">
        <v>9</v>
      </c>
      <c r="C10" s="3">
        <v>261343</v>
      </c>
      <c r="D10" s="8">
        <v>1</v>
      </c>
      <c r="E10" s="9">
        <v>1</v>
      </c>
      <c r="F10" s="9">
        <v>1</v>
      </c>
      <c r="G10" s="9">
        <v>1</v>
      </c>
      <c r="H10" s="9">
        <f t="shared" ref="H10" si="3">(D10+E10+G10+F10)/4</f>
        <v>1</v>
      </c>
    </row>
    <row r="11" spans="1:8" ht="15" thickBot="1" x14ac:dyDescent="0.45">
      <c r="A11" s="4" t="s">
        <v>14</v>
      </c>
      <c r="B11" s="5" t="s">
        <v>15</v>
      </c>
      <c r="C11" s="6">
        <v>269112</v>
      </c>
      <c r="D11" s="8"/>
      <c r="E11" s="9"/>
      <c r="F11" s="9"/>
      <c r="G11" s="9"/>
      <c r="H11" s="9"/>
    </row>
  </sheetData>
  <mergeCells count="25">
    <mergeCell ref="D10:D11"/>
    <mergeCell ref="E10:E11"/>
    <mergeCell ref="G10:G11"/>
    <mergeCell ref="H10:H11"/>
    <mergeCell ref="D6:D7"/>
    <mergeCell ref="E6:E7"/>
    <mergeCell ref="G6:G7"/>
    <mergeCell ref="H6:H7"/>
    <mergeCell ref="D8:D9"/>
    <mergeCell ref="E8:E9"/>
    <mergeCell ref="G8:G9"/>
    <mergeCell ref="H8:H9"/>
    <mergeCell ref="F6:F7"/>
    <mergeCell ref="F8:F9"/>
    <mergeCell ref="F10:F11"/>
    <mergeCell ref="D2:D3"/>
    <mergeCell ref="E2:E3"/>
    <mergeCell ref="G2:G3"/>
    <mergeCell ref="H2:H3"/>
    <mergeCell ref="D4:D5"/>
    <mergeCell ref="E4:E5"/>
    <mergeCell ref="G4:G5"/>
    <mergeCell ref="H4:H5"/>
    <mergeCell ref="F2:F3"/>
    <mergeCell ref="F4:F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DB09-3C61-412A-83BA-EC00599E8532}">
  <dimension ref="A1:F11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2" sqref="F2:F11"/>
    </sheetView>
  </sheetViews>
  <sheetFormatPr baseColWidth="10" defaultRowHeight="14.6" x14ac:dyDescent="0.4"/>
  <sheetData>
    <row r="1" spans="1:6" ht="15" thickBot="1" x14ac:dyDescent="0.45">
      <c r="A1" t="s">
        <v>1</v>
      </c>
      <c r="B1" t="s">
        <v>22</v>
      </c>
      <c r="C1" t="s">
        <v>40</v>
      </c>
      <c r="D1" t="s">
        <v>41</v>
      </c>
      <c r="E1" t="s">
        <v>42</v>
      </c>
      <c r="F1" t="s">
        <v>27</v>
      </c>
    </row>
    <row r="2" spans="1:6" x14ac:dyDescent="0.4">
      <c r="A2" s="2" t="s">
        <v>21</v>
      </c>
      <c r="B2" s="3">
        <v>263902</v>
      </c>
      <c r="C2" s="8">
        <v>1</v>
      </c>
      <c r="D2" s="9">
        <v>1</v>
      </c>
      <c r="E2" s="9">
        <v>1</v>
      </c>
      <c r="F2" s="9">
        <f>(C2+D2+E2)/3</f>
        <v>1</v>
      </c>
    </row>
    <row r="3" spans="1:6" ht="15" thickBot="1" x14ac:dyDescent="0.45">
      <c r="A3" s="5" t="s">
        <v>17</v>
      </c>
      <c r="B3" s="6">
        <v>269101</v>
      </c>
      <c r="C3" s="8"/>
      <c r="D3" s="9"/>
      <c r="E3" s="9"/>
      <c r="F3" s="9"/>
    </row>
    <row r="4" spans="1:6" x14ac:dyDescent="0.4">
      <c r="A4" s="2" t="s">
        <v>3</v>
      </c>
      <c r="B4" s="3">
        <v>267980</v>
      </c>
      <c r="C4" s="8">
        <v>0</v>
      </c>
      <c r="D4" s="9">
        <v>0</v>
      </c>
      <c r="E4" s="9">
        <v>0</v>
      </c>
      <c r="F4" s="9">
        <f t="shared" ref="F4" si="0">(C4+D4+E4)/3</f>
        <v>0</v>
      </c>
    </row>
    <row r="5" spans="1:6" ht="15" thickBot="1" x14ac:dyDescent="0.45">
      <c r="A5" s="5" t="s">
        <v>7</v>
      </c>
      <c r="B5" s="6">
        <v>240221</v>
      </c>
      <c r="C5" s="8"/>
      <c r="D5" s="9"/>
      <c r="E5" s="9"/>
      <c r="F5" s="9"/>
    </row>
    <row r="6" spans="1:6" x14ac:dyDescent="0.4">
      <c r="A6" s="2" t="s">
        <v>19</v>
      </c>
      <c r="B6" s="3">
        <v>269225</v>
      </c>
      <c r="C6" s="8">
        <v>1</v>
      </c>
      <c r="D6" s="9">
        <v>1</v>
      </c>
      <c r="E6" s="9">
        <v>1</v>
      </c>
      <c r="F6" s="9">
        <f t="shared" ref="F6" si="1">(C6+D6+E6)/3</f>
        <v>1</v>
      </c>
    </row>
    <row r="7" spans="1:6" ht="15" thickBot="1" x14ac:dyDescent="0.45">
      <c r="A7" s="5" t="s">
        <v>11</v>
      </c>
      <c r="B7" s="6">
        <v>266532</v>
      </c>
      <c r="C7" s="8"/>
      <c r="D7" s="9"/>
      <c r="E7" s="9"/>
      <c r="F7" s="9"/>
    </row>
    <row r="8" spans="1:6" x14ac:dyDescent="0.4">
      <c r="A8" s="2" t="s">
        <v>5</v>
      </c>
      <c r="B8" s="3">
        <v>267689</v>
      </c>
      <c r="C8" s="8">
        <v>1</v>
      </c>
      <c r="D8" s="9">
        <v>1</v>
      </c>
      <c r="E8" s="9">
        <v>1</v>
      </c>
      <c r="F8" s="9">
        <f t="shared" ref="F8" si="2">(C8+D8+E8)/3</f>
        <v>1</v>
      </c>
    </row>
    <row r="9" spans="1:6" ht="15" thickBot="1" x14ac:dyDescent="0.45">
      <c r="A9" s="5" t="s">
        <v>13</v>
      </c>
      <c r="B9" s="6">
        <v>234727</v>
      </c>
      <c r="C9" s="8"/>
      <c r="D9" s="9"/>
      <c r="E9" s="9"/>
      <c r="F9" s="9"/>
    </row>
    <row r="10" spans="1:6" x14ac:dyDescent="0.4">
      <c r="A10" s="2" t="s">
        <v>9</v>
      </c>
      <c r="B10" s="3">
        <v>261343</v>
      </c>
      <c r="C10" s="8">
        <v>1</v>
      </c>
      <c r="D10" s="9">
        <v>1</v>
      </c>
      <c r="E10" s="9">
        <v>1</v>
      </c>
      <c r="F10" s="9">
        <f t="shared" ref="F10" si="3">(C10+D10+E10)/3</f>
        <v>1</v>
      </c>
    </row>
    <row r="11" spans="1:6" ht="15" thickBot="1" x14ac:dyDescent="0.45">
      <c r="A11" s="5" t="s">
        <v>15</v>
      </c>
      <c r="B11" s="6">
        <v>269112</v>
      </c>
      <c r="C11" s="8"/>
      <c r="D11" s="9"/>
      <c r="E11" s="9"/>
      <c r="F11" s="9"/>
    </row>
  </sheetData>
  <mergeCells count="20">
    <mergeCell ref="F2:F3"/>
    <mergeCell ref="F4:F5"/>
    <mergeCell ref="F6:F7"/>
    <mergeCell ref="F8:F9"/>
    <mergeCell ref="F10:F11"/>
    <mergeCell ref="E2:E3"/>
    <mergeCell ref="C4:C5"/>
    <mergeCell ref="D4:D5"/>
    <mergeCell ref="E4:E5"/>
    <mergeCell ref="C10:C11"/>
    <mergeCell ref="D10:D11"/>
    <mergeCell ref="E10:E11"/>
    <mergeCell ref="C6:C7"/>
    <mergeCell ref="D6:D7"/>
    <mergeCell ref="E6:E7"/>
    <mergeCell ref="C8:C9"/>
    <mergeCell ref="D8:D9"/>
    <mergeCell ref="E8:E9"/>
    <mergeCell ref="C2:C3"/>
    <mergeCell ref="D2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245-F09D-49B9-B889-B7278D240CDE}">
  <dimension ref="A1:H11"/>
  <sheetViews>
    <sheetView topLeftCell="A10" workbookViewId="0">
      <selection activeCell="H2" sqref="H2:H11"/>
    </sheetView>
  </sheetViews>
  <sheetFormatPr baseColWidth="10" defaultRowHeight="14.6" x14ac:dyDescent="0.4"/>
  <sheetData>
    <row r="1" spans="1:8" ht="15" thickBot="1" x14ac:dyDescent="0.45">
      <c r="A1" t="s">
        <v>0</v>
      </c>
      <c r="B1" t="s">
        <v>1</v>
      </c>
      <c r="C1" t="s">
        <v>22</v>
      </c>
      <c r="D1" t="s">
        <v>24</v>
      </c>
      <c r="E1" t="s">
        <v>25</v>
      </c>
      <c r="F1" t="s">
        <v>26</v>
      </c>
      <c r="G1" t="s">
        <v>38</v>
      </c>
      <c r="H1" t="s">
        <v>23</v>
      </c>
    </row>
    <row r="2" spans="1:8" x14ac:dyDescent="0.4">
      <c r="A2" s="1" t="s">
        <v>20</v>
      </c>
      <c r="B2" s="2" t="s">
        <v>21</v>
      </c>
      <c r="C2" s="3">
        <v>263902</v>
      </c>
      <c r="D2" s="8">
        <v>1</v>
      </c>
      <c r="E2" s="9">
        <v>1</v>
      </c>
      <c r="F2" s="9">
        <v>1</v>
      </c>
      <c r="G2" s="9">
        <v>1</v>
      </c>
      <c r="H2" s="9">
        <f>(D2+E2+F2+G2)/4</f>
        <v>1</v>
      </c>
    </row>
    <row r="3" spans="1:8" ht="15" thickBot="1" x14ac:dyDescent="0.45">
      <c r="A3" s="4" t="s">
        <v>16</v>
      </c>
      <c r="B3" s="5" t="s">
        <v>17</v>
      </c>
      <c r="C3" s="6">
        <v>269101</v>
      </c>
      <c r="D3" s="8"/>
      <c r="E3" s="9"/>
      <c r="F3" s="9"/>
      <c r="G3" s="9"/>
      <c r="H3" s="9"/>
    </row>
    <row r="4" spans="1:8" x14ac:dyDescent="0.4">
      <c r="A4" s="1" t="s">
        <v>2</v>
      </c>
      <c r="B4" s="2" t="s">
        <v>3</v>
      </c>
      <c r="C4" s="3">
        <v>267980</v>
      </c>
      <c r="D4" s="8">
        <v>1</v>
      </c>
      <c r="E4" s="9">
        <v>1</v>
      </c>
      <c r="F4" s="9">
        <v>1</v>
      </c>
      <c r="G4" s="9">
        <v>1</v>
      </c>
      <c r="H4" s="9">
        <f t="shared" ref="H4" si="0">(D4+E4+F4)/3</f>
        <v>1</v>
      </c>
    </row>
    <row r="5" spans="1:8" ht="15" thickBot="1" x14ac:dyDescent="0.45">
      <c r="A5" s="4" t="s">
        <v>6</v>
      </c>
      <c r="B5" s="5" t="s">
        <v>7</v>
      </c>
      <c r="C5" s="6">
        <v>240221</v>
      </c>
      <c r="D5" s="8"/>
      <c r="E5" s="9"/>
      <c r="F5" s="9"/>
      <c r="G5" s="9"/>
      <c r="H5" s="9"/>
    </row>
    <row r="6" spans="1:8" x14ac:dyDescent="0.4">
      <c r="A6" s="1" t="s">
        <v>18</v>
      </c>
      <c r="B6" s="2" t="s">
        <v>19</v>
      </c>
      <c r="C6" s="3">
        <v>269225</v>
      </c>
      <c r="D6" s="8">
        <v>0</v>
      </c>
      <c r="E6" s="9">
        <v>1</v>
      </c>
      <c r="F6" s="9">
        <v>1</v>
      </c>
      <c r="G6" s="9">
        <v>1</v>
      </c>
      <c r="H6" s="9">
        <f t="shared" ref="H6" si="1">(D6+E6+F6)/3</f>
        <v>0.66666666666666663</v>
      </c>
    </row>
    <row r="7" spans="1:8" ht="15" thickBot="1" x14ac:dyDescent="0.45">
      <c r="A7" s="4" t="s">
        <v>10</v>
      </c>
      <c r="B7" s="5" t="s">
        <v>11</v>
      </c>
      <c r="C7" s="6">
        <v>266532</v>
      </c>
      <c r="D7" s="8"/>
      <c r="E7" s="9"/>
      <c r="F7" s="9"/>
      <c r="G7" s="9"/>
      <c r="H7" s="9"/>
    </row>
    <row r="8" spans="1:8" x14ac:dyDescent="0.4">
      <c r="A8" s="1" t="s">
        <v>4</v>
      </c>
      <c r="B8" s="2" t="s">
        <v>5</v>
      </c>
      <c r="C8" s="3">
        <v>267689</v>
      </c>
      <c r="D8" s="8">
        <v>1</v>
      </c>
      <c r="E8" s="9">
        <v>1</v>
      </c>
      <c r="F8" s="9">
        <v>1</v>
      </c>
      <c r="G8" s="9">
        <v>1</v>
      </c>
      <c r="H8" s="9">
        <f t="shared" ref="H8" si="2">(D8+E8+F8)/3</f>
        <v>1</v>
      </c>
    </row>
    <row r="9" spans="1:8" ht="15" thickBot="1" x14ac:dyDescent="0.45">
      <c r="A9" s="4" t="s">
        <v>12</v>
      </c>
      <c r="B9" s="5" t="s">
        <v>13</v>
      </c>
      <c r="C9" s="6">
        <v>234727</v>
      </c>
      <c r="D9" s="8"/>
      <c r="E9" s="9"/>
      <c r="F9" s="9"/>
      <c r="G9" s="9"/>
      <c r="H9" s="9"/>
    </row>
    <row r="10" spans="1:8" x14ac:dyDescent="0.4">
      <c r="A10" s="1" t="s">
        <v>8</v>
      </c>
      <c r="B10" s="2" t="s">
        <v>9</v>
      </c>
      <c r="C10" s="3">
        <v>261343</v>
      </c>
      <c r="D10" s="8">
        <v>1</v>
      </c>
      <c r="E10" s="9">
        <v>1</v>
      </c>
      <c r="F10" s="9">
        <v>1</v>
      </c>
      <c r="G10" s="9">
        <v>1</v>
      </c>
      <c r="H10" s="9">
        <f t="shared" ref="H10" si="3">(D10+E10+F10)/3</f>
        <v>1</v>
      </c>
    </row>
    <row r="11" spans="1:8" ht="15" thickBot="1" x14ac:dyDescent="0.45">
      <c r="A11" s="4" t="s">
        <v>14</v>
      </c>
      <c r="B11" s="5" t="s">
        <v>15</v>
      </c>
      <c r="C11" s="6">
        <v>269112</v>
      </c>
      <c r="D11" s="8"/>
      <c r="E11" s="9"/>
      <c r="F11" s="9"/>
      <c r="G11" s="9"/>
      <c r="H11" s="9"/>
    </row>
  </sheetData>
  <mergeCells count="25">
    <mergeCell ref="D10:D11"/>
    <mergeCell ref="E10:E11"/>
    <mergeCell ref="F10:F11"/>
    <mergeCell ref="G10:G11"/>
    <mergeCell ref="H10:H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B54-6D41-4464-A8D6-C426B6965A9D}">
  <dimension ref="A1:O15"/>
  <sheetViews>
    <sheetView tabSelected="1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O2" sqref="O2:O11"/>
    </sheetView>
  </sheetViews>
  <sheetFormatPr baseColWidth="10" defaultRowHeight="14.6" x14ac:dyDescent="0.4"/>
  <cols>
    <col min="5" max="5" width="12.3046875" customWidth="1"/>
    <col min="6" max="6" width="17.69140625" customWidth="1"/>
    <col min="7" max="7" width="15.07421875" customWidth="1"/>
    <col min="8" max="8" width="12.84375" customWidth="1"/>
    <col min="9" max="9" width="29.765625" customWidth="1"/>
    <col min="10" max="10" width="19.84375" customWidth="1"/>
    <col min="11" max="11" width="15.53515625" customWidth="1"/>
    <col min="15" max="15" width="12.3046875" customWidth="1"/>
  </cols>
  <sheetData>
    <row r="1" spans="1:15" ht="15" thickBot="1" x14ac:dyDescent="0.45">
      <c r="A1" t="s">
        <v>0</v>
      </c>
      <c r="B1" t="s">
        <v>1</v>
      </c>
      <c r="C1" t="s">
        <v>22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37</v>
      </c>
      <c r="K1" t="s">
        <v>36</v>
      </c>
      <c r="L1" t="s">
        <v>28</v>
      </c>
      <c r="M1" t="s">
        <v>29</v>
      </c>
      <c r="N1" t="s">
        <v>55</v>
      </c>
      <c r="O1" t="s">
        <v>56</v>
      </c>
    </row>
    <row r="2" spans="1:15" x14ac:dyDescent="0.4">
      <c r="A2" s="1" t="s">
        <v>20</v>
      </c>
      <c r="B2" s="2" t="s">
        <v>21</v>
      </c>
      <c r="C2" s="3">
        <v>263902</v>
      </c>
      <c r="D2" s="9">
        <v>1</v>
      </c>
      <c r="E2" s="9">
        <v>1</v>
      </c>
      <c r="F2" s="9">
        <v>1</v>
      </c>
      <c r="G2" s="9">
        <v>0.75</v>
      </c>
      <c r="H2" s="9">
        <v>1.1666666666666701</v>
      </c>
      <c r="I2" s="9">
        <v>1</v>
      </c>
      <c r="J2" s="9">
        <v>1</v>
      </c>
      <c r="K2" s="9">
        <v>1</v>
      </c>
      <c r="L2">
        <v>1.25</v>
      </c>
      <c r="M2" s="10">
        <f>(SUM(D2:J3)*0.65/8)+L2*0.35</f>
        <v>0.99947916666666692</v>
      </c>
      <c r="N2" s="10">
        <v>1.04</v>
      </c>
      <c r="O2" s="10">
        <f>SUM(D2:K3)/8*2</f>
        <v>1.9791666666666674</v>
      </c>
    </row>
    <row r="3" spans="1:15" ht="15" thickBot="1" x14ac:dyDescent="0.45">
      <c r="A3" s="4" t="s">
        <v>16</v>
      </c>
      <c r="B3" s="5" t="s">
        <v>17</v>
      </c>
      <c r="C3" s="6">
        <v>269101</v>
      </c>
      <c r="D3" s="9"/>
      <c r="E3" s="9"/>
      <c r="F3" s="9"/>
      <c r="G3" s="9"/>
      <c r="H3" s="9"/>
      <c r="I3" s="9"/>
      <c r="J3" s="9"/>
      <c r="K3" s="9"/>
      <c r="L3">
        <v>1.25</v>
      </c>
      <c r="M3" s="10"/>
      <c r="N3" s="10"/>
      <c r="O3" s="10"/>
    </row>
    <row r="4" spans="1:15" x14ac:dyDescent="0.4">
      <c r="A4" s="1" t="s">
        <v>2</v>
      </c>
      <c r="B4" s="2" t="s">
        <v>3</v>
      </c>
      <c r="C4" s="3">
        <v>267980</v>
      </c>
      <c r="D4" s="9">
        <v>1</v>
      </c>
      <c r="E4" s="9">
        <v>0</v>
      </c>
      <c r="F4" s="9">
        <v>0.7</v>
      </c>
      <c r="G4" s="9">
        <v>0.85</v>
      </c>
      <c r="H4" s="9">
        <v>1</v>
      </c>
      <c r="I4" s="9">
        <v>0.875</v>
      </c>
      <c r="J4" s="9">
        <v>0.66666666666666663</v>
      </c>
      <c r="K4" s="9">
        <v>0</v>
      </c>
      <c r="L4">
        <v>0.83</v>
      </c>
      <c r="M4" s="10">
        <f t="shared" ref="M4" si="0">(SUM(D4:J5)*0.65/8)+L4*0.35</f>
        <v>0.70419791666666665</v>
      </c>
      <c r="N4" s="10">
        <v>0.7</v>
      </c>
      <c r="O4" s="10">
        <f t="shared" ref="O4:O11" si="1">SUM(D4:K5)/8*2</f>
        <v>1.2729166666666667</v>
      </c>
    </row>
    <row r="5" spans="1:15" ht="15" thickBot="1" x14ac:dyDescent="0.45">
      <c r="A5" s="4" t="s">
        <v>6</v>
      </c>
      <c r="B5" s="5" t="s">
        <v>7</v>
      </c>
      <c r="C5" s="6">
        <v>240221</v>
      </c>
      <c r="D5" s="9"/>
      <c r="E5" s="9"/>
      <c r="F5" s="9"/>
      <c r="G5" s="9"/>
      <c r="H5" s="9"/>
      <c r="I5" s="9"/>
      <c r="J5" s="9"/>
      <c r="K5" s="9"/>
      <c r="L5">
        <v>0.83</v>
      </c>
      <c r="M5" s="10"/>
      <c r="N5" s="10"/>
      <c r="O5" s="10"/>
    </row>
    <row r="6" spans="1:15" x14ac:dyDescent="0.4">
      <c r="A6" s="1" t="s">
        <v>18</v>
      </c>
      <c r="B6" s="2" t="s">
        <v>19</v>
      </c>
      <c r="C6" s="3">
        <v>269225</v>
      </c>
      <c r="D6" s="9">
        <v>0.66666666666666663</v>
      </c>
      <c r="E6" s="9">
        <v>1</v>
      </c>
      <c r="F6" s="9">
        <v>1</v>
      </c>
      <c r="G6" s="9">
        <v>0.75</v>
      </c>
      <c r="H6" s="9">
        <v>1.1666666666666667</v>
      </c>
      <c r="I6" s="9">
        <v>1</v>
      </c>
      <c r="J6" s="9">
        <v>1</v>
      </c>
      <c r="K6" s="9">
        <v>1</v>
      </c>
      <c r="L6">
        <v>1.1066666666666667</v>
      </c>
      <c r="M6" s="10">
        <f t="shared" ref="M6" si="2">(SUM(D6:J7)*0.65/8)+L6*0.35</f>
        <v>0.92222916666666666</v>
      </c>
      <c r="N6" s="10">
        <v>0.96</v>
      </c>
      <c r="O6" s="10">
        <f t="shared" ref="O6:O11" si="3">SUM(D6:K7)/8*2</f>
        <v>1.8958333333333333</v>
      </c>
    </row>
    <row r="7" spans="1:15" ht="15" thickBot="1" x14ac:dyDescent="0.45">
      <c r="A7" s="4" t="s">
        <v>10</v>
      </c>
      <c r="B7" s="5" t="s">
        <v>11</v>
      </c>
      <c r="C7" s="6">
        <v>266532</v>
      </c>
      <c r="D7" s="9"/>
      <c r="E7" s="9"/>
      <c r="F7" s="9"/>
      <c r="G7" s="9"/>
      <c r="H7" s="9"/>
      <c r="I7" s="9"/>
      <c r="J7" s="9"/>
      <c r="K7" s="9"/>
      <c r="L7">
        <v>1.1066666666666667</v>
      </c>
      <c r="M7" s="10"/>
      <c r="N7" s="10"/>
      <c r="O7" s="10"/>
    </row>
    <row r="8" spans="1:15" x14ac:dyDescent="0.4">
      <c r="A8" s="1" t="s">
        <v>4</v>
      </c>
      <c r="B8" s="2" t="s">
        <v>5</v>
      </c>
      <c r="C8" s="3">
        <v>267689</v>
      </c>
      <c r="D8" s="9">
        <v>1</v>
      </c>
      <c r="E8" s="9">
        <v>1</v>
      </c>
      <c r="F8" s="9">
        <v>1</v>
      </c>
      <c r="G8" s="9">
        <v>1</v>
      </c>
      <c r="H8" s="9">
        <v>1.1666666666666667</v>
      </c>
      <c r="I8" s="9">
        <v>1</v>
      </c>
      <c r="J8" s="9">
        <v>1</v>
      </c>
      <c r="K8" s="9">
        <v>1</v>
      </c>
      <c r="L8">
        <v>1.1666666666666667</v>
      </c>
      <c r="M8" s="10">
        <f t="shared" ref="M8" si="4">(SUM(D8:J9)*0.65/8)+L8*0.35</f>
        <v>0.99062500000000009</v>
      </c>
      <c r="N8" s="10">
        <v>1.03</v>
      </c>
      <c r="O8" s="10">
        <f t="shared" ref="O8:O11" si="5">SUM(D8:K9)/8*2</f>
        <v>2.041666666666667</v>
      </c>
    </row>
    <row r="9" spans="1:15" ht="15" thickBot="1" x14ac:dyDescent="0.45">
      <c r="A9" s="4" t="s">
        <v>12</v>
      </c>
      <c r="B9" s="5" t="s">
        <v>13</v>
      </c>
      <c r="C9" s="6">
        <v>234727</v>
      </c>
      <c r="D9" s="9"/>
      <c r="E9" s="9"/>
      <c r="F9" s="9"/>
      <c r="G9" s="9"/>
      <c r="H9" s="9"/>
      <c r="I9" s="9"/>
      <c r="J9" s="9"/>
      <c r="K9" s="9"/>
      <c r="L9">
        <v>1.1666666666666667</v>
      </c>
      <c r="M9" s="10"/>
      <c r="N9" s="10"/>
      <c r="O9" s="10"/>
    </row>
    <row r="10" spans="1:15" x14ac:dyDescent="0.4">
      <c r="A10" s="1" t="s">
        <v>8</v>
      </c>
      <c r="B10" s="2" t="s">
        <v>9</v>
      </c>
      <c r="C10" s="3">
        <v>261343</v>
      </c>
      <c r="D10" s="9">
        <v>1</v>
      </c>
      <c r="E10" s="9">
        <v>1</v>
      </c>
      <c r="F10" s="9">
        <v>1</v>
      </c>
      <c r="G10" s="9">
        <v>1</v>
      </c>
      <c r="H10" s="9">
        <v>1.1666666666666667</v>
      </c>
      <c r="I10" s="9">
        <v>1</v>
      </c>
      <c r="J10" s="9">
        <v>1</v>
      </c>
      <c r="K10" s="9">
        <v>1</v>
      </c>
      <c r="L10">
        <v>0.95</v>
      </c>
      <c r="M10" s="10">
        <f t="shared" ref="M10" si="6">(SUM(D10:J11)*0.65/8)+L10*0.35</f>
        <v>0.91479166666666667</v>
      </c>
      <c r="N10" s="10">
        <v>0.95</v>
      </c>
      <c r="O10" s="10">
        <f t="shared" ref="O10:O11" si="7">SUM(D10:K11)/8*2</f>
        <v>2.041666666666667</v>
      </c>
    </row>
    <row r="11" spans="1:15" ht="15" thickBot="1" x14ac:dyDescent="0.45">
      <c r="A11" s="4" t="s">
        <v>14</v>
      </c>
      <c r="B11" s="5" t="s">
        <v>15</v>
      </c>
      <c r="C11" s="6">
        <v>269112</v>
      </c>
      <c r="D11" s="9"/>
      <c r="E11" s="9"/>
      <c r="F11" s="9"/>
      <c r="G11" s="9"/>
      <c r="H11" s="9"/>
      <c r="I11" s="9"/>
      <c r="J11" s="9"/>
      <c r="K11" s="9"/>
      <c r="L11">
        <v>0.95</v>
      </c>
      <c r="M11" s="10"/>
      <c r="N11" s="10"/>
      <c r="O11" s="10"/>
    </row>
    <row r="15" spans="1:15" x14ac:dyDescent="0.4">
      <c r="K15" s="7"/>
    </row>
  </sheetData>
  <mergeCells count="55">
    <mergeCell ref="K2:K3"/>
    <mergeCell ref="K4:K5"/>
    <mergeCell ref="K6:K7"/>
    <mergeCell ref="K8:K9"/>
    <mergeCell ref="K10:K11"/>
    <mergeCell ref="O2:O3"/>
    <mergeCell ref="O4:O5"/>
    <mergeCell ref="O6:O7"/>
    <mergeCell ref="O8:O9"/>
    <mergeCell ref="O10:O11"/>
    <mergeCell ref="N2:N3"/>
    <mergeCell ref="N4:N5"/>
    <mergeCell ref="N6:N7"/>
    <mergeCell ref="N8:N9"/>
    <mergeCell ref="N10:N11"/>
    <mergeCell ref="M2:M3"/>
    <mergeCell ref="M4:M5"/>
    <mergeCell ref="M6:M7"/>
    <mergeCell ref="M8:M9"/>
    <mergeCell ref="M10:M11"/>
    <mergeCell ref="J2:J3"/>
    <mergeCell ref="J4:J5"/>
    <mergeCell ref="J6:J7"/>
    <mergeCell ref="J8:J9"/>
    <mergeCell ref="J10:J11"/>
    <mergeCell ref="I2:I3"/>
    <mergeCell ref="I4:I5"/>
    <mergeCell ref="I6:I7"/>
    <mergeCell ref="I8:I9"/>
    <mergeCell ref="I10:I11"/>
    <mergeCell ref="H2:H3"/>
    <mergeCell ref="H4:H5"/>
    <mergeCell ref="H6:H7"/>
    <mergeCell ref="H8:H9"/>
    <mergeCell ref="H10:H11"/>
    <mergeCell ref="G2:G3"/>
    <mergeCell ref="G4:G5"/>
    <mergeCell ref="G6:G7"/>
    <mergeCell ref="G8:G9"/>
    <mergeCell ref="G10:G11"/>
    <mergeCell ref="F2:F3"/>
    <mergeCell ref="F4:F5"/>
    <mergeCell ref="F6:F7"/>
    <mergeCell ref="F8:F9"/>
    <mergeCell ref="F10:F11"/>
    <mergeCell ref="E2:E3"/>
    <mergeCell ref="E4:E5"/>
    <mergeCell ref="E6:E7"/>
    <mergeCell ref="E8:E9"/>
    <mergeCell ref="E10:E11"/>
    <mergeCell ref="D2:D3"/>
    <mergeCell ref="D4:D5"/>
    <mergeCell ref="D6:D7"/>
    <mergeCell ref="D8:D9"/>
    <mergeCell ref="D10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8896-79FA-4EBE-801F-D60CAFBCD9FC}">
  <dimension ref="A1:S12"/>
  <sheetViews>
    <sheetView topLeftCell="B1" zoomScale="110" zoomScaleNormal="110" workbookViewId="0">
      <selection activeCell="S3" sqref="S3:S12"/>
    </sheetView>
  </sheetViews>
  <sheetFormatPr baseColWidth="10" defaultRowHeight="14.6" x14ac:dyDescent="0.4"/>
  <cols>
    <col min="1" max="1" width="8.84375" customWidth="1"/>
    <col min="2" max="2" width="9.07421875" customWidth="1"/>
    <col min="4" max="4" width="4.07421875" customWidth="1"/>
    <col min="5" max="5" width="3.765625" customWidth="1"/>
    <col min="6" max="6" width="3.84375" customWidth="1"/>
    <col min="7" max="7" width="4" customWidth="1"/>
    <col min="8" max="8" width="4.07421875" customWidth="1"/>
    <col min="9" max="9" width="3.765625" customWidth="1"/>
    <col min="10" max="10" width="3.84375" customWidth="1"/>
    <col min="11" max="12" width="4" customWidth="1"/>
    <col min="13" max="13" width="4.07421875" customWidth="1"/>
    <col min="14" max="14" width="3.765625" customWidth="1"/>
    <col min="15" max="15" width="3.84375" customWidth="1"/>
    <col min="16" max="18" width="4" customWidth="1"/>
    <col min="19" max="19" width="6" customWidth="1"/>
  </cols>
  <sheetData>
    <row r="1" spans="1:19" x14ac:dyDescent="0.4">
      <c r="D1" s="9" t="s">
        <v>39</v>
      </c>
      <c r="E1" s="9"/>
      <c r="F1" s="9"/>
      <c r="G1" s="9"/>
      <c r="H1" s="9" t="s">
        <v>44</v>
      </c>
      <c r="I1" s="9"/>
      <c r="J1" s="9"/>
      <c r="K1" s="9"/>
      <c r="L1" s="9"/>
      <c r="M1" s="9" t="s">
        <v>52</v>
      </c>
      <c r="N1" s="9"/>
      <c r="O1" s="9"/>
      <c r="P1" s="9"/>
      <c r="Q1" s="9"/>
      <c r="R1" s="9"/>
    </row>
    <row r="2" spans="1:19" ht="15" thickBot="1" x14ac:dyDescent="0.45">
      <c r="A2" t="s">
        <v>0</v>
      </c>
      <c r="B2" t="s">
        <v>1</v>
      </c>
      <c r="C2" t="s">
        <v>22</v>
      </c>
      <c r="D2" t="s">
        <v>40</v>
      </c>
      <c r="E2" t="s">
        <v>41</v>
      </c>
      <c r="F2" t="s">
        <v>42</v>
      </c>
      <c r="G2" t="s">
        <v>43</v>
      </c>
      <c r="H2" t="s">
        <v>40</v>
      </c>
      <c r="I2" t="s">
        <v>41</v>
      </c>
      <c r="J2" t="s">
        <v>42</v>
      </c>
      <c r="K2" t="s">
        <v>43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23</v>
      </c>
    </row>
    <row r="3" spans="1:19" x14ac:dyDescent="0.4">
      <c r="A3" s="1" t="s">
        <v>20</v>
      </c>
      <c r="B3" s="2" t="s">
        <v>21</v>
      </c>
      <c r="C3" s="3">
        <v>263902</v>
      </c>
      <c r="D3" s="11">
        <v>1</v>
      </c>
      <c r="E3" s="12">
        <v>1</v>
      </c>
      <c r="F3" s="12">
        <v>1</v>
      </c>
      <c r="G3" s="12">
        <v>1</v>
      </c>
      <c r="H3" s="11">
        <v>1</v>
      </c>
      <c r="I3" s="12">
        <v>1</v>
      </c>
      <c r="J3" s="12">
        <v>1</v>
      </c>
      <c r="K3" s="12">
        <v>1</v>
      </c>
      <c r="L3" s="12">
        <v>1</v>
      </c>
      <c r="M3" s="11">
        <v>1</v>
      </c>
      <c r="N3" s="12">
        <v>1</v>
      </c>
      <c r="O3" s="12"/>
      <c r="P3" s="12">
        <v>1</v>
      </c>
      <c r="Q3" s="12"/>
      <c r="R3" s="12"/>
      <c r="S3" s="9">
        <f>((SUM(D3:G4)/4)+(SUM(H3:L4)/5)+(SUM(M3:R4)/6))/2</f>
        <v>1.25</v>
      </c>
    </row>
    <row r="4" spans="1:19" ht="15" thickBot="1" x14ac:dyDescent="0.45">
      <c r="A4" s="4" t="s">
        <v>16</v>
      </c>
      <c r="B4" s="5" t="s">
        <v>17</v>
      </c>
      <c r="C4" s="6">
        <v>269101</v>
      </c>
      <c r="D4" s="11"/>
      <c r="E4" s="12"/>
      <c r="F4" s="12"/>
      <c r="G4" s="12"/>
      <c r="H4" s="11"/>
      <c r="I4" s="12"/>
      <c r="J4" s="12"/>
      <c r="K4" s="12"/>
      <c r="L4" s="12"/>
      <c r="M4" s="11"/>
      <c r="N4" s="12"/>
      <c r="O4" s="12"/>
      <c r="P4" s="12"/>
      <c r="Q4" s="12"/>
      <c r="R4" s="12"/>
      <c r="S4" s="9"/>
    </row>
    <row r="5" spans="1:19" x14ac:dyDescent="0.4">
      <c r="A5" s="1" t="s">
        <v>2</v>
      </c>
      <c r="B5" s="2" t="s">
        <v>3</v>
      </c>
      <c r="C5" s="3">
        <v>267980</v>
      </c>
      <c r="D5" s="11">
        <v>1</v>
      </c>
      <c r="E5" s="12">
        <v>1</v>
      </c>
      <c r="F5" s="12">
        <v>1</v>
      </c>
      <c r="G5" s="12">
        <v>1</v>
      </c>
      <c r="H5" s="11">
        <v>0.7</v>
      </c>
      <c r="I5" s="12">
        <v>1</v>
      </c>
      <c r="J5" s="12">
        <v>0.8</v>
      </c>
      <c r="K5" s="12">
        <v>0.4</v>
      </c>
      <c r="L5" s="12">
        <v>0.4</v>
      </c>
      <c r="M5" s="11"/>
      <c r="N5" s="12"/>
      <c r="O5" s="12"/>
      <c r="P5" s="12"/>
      <c r="Q5" s="12"/>
      <c r="R5" s="12"/>
      <c r="S5" s="9">
        <f>((SUM(D5:G6)/4)+(SUM(H5:L6)/5)+(SUM(M5:R6)/6))/2</f>
        <v>0.83</v>
      </c>
    </row>
    <row r="6" spans="1:19" ht="15" thickBot="1" x14ac:dyDescent="0.45">
      <c r="A6" s="4" t="s">
        <v>6</v>
      </c>
      <c r="B6" s="5" t="s">
        <v>7</v>
      </c>
      <c r="C6" s="6">
        <v>240221</v>
      </c>
      <c r="D6" s="11"/>
      <c r="E6" s="12"/>
      <c r="F6" s="12"/>
      <c r="G6" s="12"/>
      <c r="H6" s="11"/>
      <c r="I6" s="12"/>
      <c r="J6" s="12"/>
      <c r="K6" s="12"/>
      <c r="L6" s="12"/>
      <c r="M6" s="11"/>
      <c r="N6" s="12"/>
      <c r="O6" s="12"/>
      <c r="P6" s="12"/>
      <c r="Q6" s="12"/>
      <c r="R6" s="12"/>
      <c r="S6" s="9"/>
    </row>
    <row r="7" spans="1:19" x14ac:dyDescent="0.4">
      <c r="A7" s="1" t="s">
        <v>18</v>
      </c>
      <c r="B7" s="2" t="s">
        <v>19</v>
      </c>
      <c r="C7" s="3">
        <v>269225</v>
      </c>
      <c r="D7" s="11">
        <v>0.8</v>
      </c>
      <c r="E7" s="12">
        <v>1</v>
      </c>
      <c r="F7" s="12">
        <v>1</v>
      </c>
      <c r="G7" s="12">
        <v>0</v>
      </c>
      <c r="H7" s="11">
        <v>1</v>
      </c>
      <c r="I7" s="12">
        <v>0.9</v>
      </c>
      <c r="J7" s="12">
        <v>0.2</v>
      </c>
      <c r="K7" s="12">
        <v>0.8</v>
      </c>
      <c r="L7" s="12">
        <v>1</v>
      </c>
      <c r="M7" s="11">
        <v>1</v>
      </c>
      <c r="N7" s="12">
        <v>0.5</v>
      </c>
      <c r="O7" s="12">
        <v>0.2</v>
      </c>
      <c r="P7" s="12">
        <v>0.7</v>
      </c>
      <c r="Q7" s="12">
        <v>1</v>
      </c>
      <c r="R7" s="14">
        <v>1</v>
      </c>
      <c r="S7" s="9">
        <f t="shared" ref="S7" si="0">((SUM(D7:G8)/4)+(SUM(H7:L8)/5)+(SUM(M7:R8)/6))/2</f>
        <v>1.1066666666666667</v>
      </c>
    </row>
    <row r="8" spans="1:19" ht="15" thickBot="1" x14ac:dyDescent="0.45">
      <c r="A8" s="4" t="s">
        <v>10</v>
      </c>
      <c r="B8" s="5" t="s">
        <v>11</v>
      </c>
      <c r="C8" s="6">
        <v>266532</v>
      </c>
      <c r="D8" s="11"/>
      <c r="E8" s="12"/>
      <c r="F8" s="12"/>
      <c r="G8" s="12"/>
      <c r="H8" s="11"/>
      <c r="I8" s="12"/>
      <c r="J8" s="12"/>
      <c r="K8" s="12"/>
      <c r="L8" s="12"/>
      <c r="M8" s="11"/>
      <c r="N8" s="12"/>
      <c r="O8" s="12"/>
      <c r="P8" s="12"/>
      <c r="Q8" s="12"/>
      <c r="R8" s="14"/>
      <c r="S8" s="9"/>
    </row>
    <row r="9" spans="1:19" x14ac:dyDescent="0.4">
      <c r="A9" s="1" t="s">
        <v>4</v>
      </c>
      <c r="B9" s="2" t="s">
        <v>5</v>
      </c>
      <c r="C9" s="3">
        <v>267689</v>
      </c>
      <c r="D9" s="11">
        <v>1</v>
      </c>
      <c r="E9" s="12">
        <v>1</v>
      </c>
      <c r="F9" s="12">
        <v>1</v>
      </c>
      <c r="G9" s="13">
        <v>1</v>
      </c>
      <c r="H9" s="11">
        <v>1</v>
      </c>
      <c r="I9" s="12">
        <v>1</v>
      </c>
      <c r="J9" s="12">
        <v>1</v>
      </c>
      <c r="K9" s="12">
        <v>1</v>
      </c>
      <c r="L9" s="12">
        <v>1</v>
      </c>
      <c r="M9" s="11">
        <v>1</v>
      </c>
      <c r="N9" s="12">
        <v>1</v>
      </c>
      <c r="O9" s="12"/>
      <c r="P9" s="12"/>
      <c r="Q9" s="12"/>
      <c r="R9" s="14"/>
      <c r="S9" s="9">
        <f t="shared" ref="S9" si="1">((SUM(D9:G10)/4)+(SUM(H9:L10)/5)+(SUM(M9:R10)/6))/2</f>
        <v>1.1666666666666667</v>
      </c>
    </row>
    <row r="10" spans="1:19" ht="15" thickBot="1" x14ac:dyDescent="0.45">
      <c r="A10" s="4" t="s">
        <v>12</v>
      </c>
      <c r="B10" s="5" t="s">
        <v>13</v>
      </c>
      <c r="C10" s="6">
        <v>234727</v>
      </c>
      <c r="D10" s="11"/>
      <c r="E10" s="12"/>
      <c r="F10" s="12"/>
      <c r="G10" s="13"/>
      <c r="H10" s="11"/>
      <c r="I10" s="12"/>
      <c r="J10" s="12"/>
      <c r="K10" s="12"/>
      <c r="L10" s="12"/>
      <c r="M10" s="11"/>
      <c r="N10" s="12"/>
      <c r="O10" s="12"/>
      <c r="P10" s="12"/>
      <c r="Q10" s="12"/>
      <c r="R10" s="14"/>
      <c r="S10" s="9"/>
    </row>
    <row r="11" spans="1:19" x14ac:dyDescent="0.4">
      <c r="A11" s="1" t="s">
        <v>8</v>
      </c>
      <c r="B11" s="2" t="s">
        <v>9</v>
      </c>
      <c r="C11" s="3">
        <v>261343</v>
      </c>
      <c r="D11" s="11">
        <v>1</v>
      </c>
      <c r="E11" s="12">
        <v>1</v>
      </c>
      <c r="F11" s="12">
        <v>1</v>
      </c>
      <c r="G11" s="12">
        <v>1</v>
      </c>
      <c r="H11" s="11">
        <v>1</v>
      </c>
      <c r="I11" s="12">
        <v>0.5</v>
      </c>
      <c r="J11" s="12">
        <v>1</v>
      </c>
      <c r="K11" s="12">
        <v>1</v>
      </c>
      <c r="L11" s="12">
        <v>1</v>
      </c>
      <c r="M11" s="11"/>
      <c r="N11" s="12"/>
      <c r="O11" s="12"/>
      <c r="P11" s="12"/>
      <c r="Q11" s="12"/>
      <c r="R11" s="14"/>
      <c r="S11" s="9">
        <f t="shared" ref="S11" si="2">((SUM(D11:G12)/4)+(SUM(H11:L12)/5)+(SUM(M11:R12)/6))/2</f>
        <v>0.95</v>
      </c>
    </row>
    <row r="12" spans="1:19" ht="15" thickBot="1" x14ac:dyDescent="0.45">
      <c r="A12" s="4" t="s">
        <v>14</v>
      </c>
      <c r="B12" s="5" t="s">
        <v>15</v>
      </c>
      <c r="C12" s="6">
        <v>269112</v>
      </c>
      <c r="D12" s="11"/>
      <c r="E12" s="12"/>
      <c r="F12" s="12"/>
      <c r="G12" s="12"/>
      <c r="H12" s="11"/>
      <c r="I12" s="12"/>
      <c r="J12" s="12"/>
      <c r="K12" s="12"/>
      <c r="L12" s="12"/>
      <c r="M12" s="11"/>
      <c r="N12" s="12"/>
      <c r="O12" s="12"/>
      <c r="P12" s="12"/>
      <c r="Q12" s="12"/>
      <c r="R12" s="14"/>
      <c r="S12" s="9"/>
    </row>
  </sheetData>
  <mergeCells count="83">
    <mergeCell ref="S3:S4"/>
    <mergeCell ref="S5:S6"/>
    <mergeCell ref="S7:S8"/>
    <mergeCell ref="S9:S10"/>
    <mergeCell ref="S11:S12"/>
    <mergeCell ref="F5:F6"/>
    <mergeCell ref="J5:J6"/>
    <mergeCell ref="R3:R4"/>
    <mergeCell ref="R5:R6"/>
    <mergeCell ref="R7:R8"/>
    <mergeCell ref="P7:P8"/>
    <mergeCell ref="I5:I6"/>
    <mergeCell ref="K5:K6"/>
    <mergeCell ref="I7:I8"/>
    <mergeCell ref="J7:J8"/>
    <mergeCell ref="K7:K8"/>
    <mergeCell ref="G5:G6"/>
    <mergeCell ref="H5:H6"/>
    <mergeCell ref="R9:R10"/>
    <mergeCell ref="R11:R12"/>
    <mergeCell ref="M1:R1"/>
    <mergeCell ref="H1:L1"/>
    <mergeCell ref="Q3:Q4"/>
    <mergeCell ref="Q5:Q6"/>
    <mergeCell ref="Q7:Q8"/>
    <mergeCell ref="Q9:Q10"/>
    <mergeCell ref="Q11:Q12"/>
    <mergeCell ref="M11:M12"/>
    <mergeCell ref="N11:N12"/>
    <mergeCell ref="O11:O12"/>
    <mergeCell ref="P11:P12"/>
    <mergeCell ref="L3:L4"/>
    <mergeCell ref="L5:L6"/>
    <mergeCell ref="L7:L8"/>
    <mergeCell ref="L9:L10"/>
    <mergeCell ref="L11:L12"/>
    <mergeCell ref="M7:M8"/>
    <mergeCell ref="N7:N8"/>
    <mergeCell ref="O7:O8"/>
    <mergeCell ref="M9:M10"/>
    <mergeCell ref="N9:N10"/>
    <mergeCell ref="O9:O10"/>
    <mergeCell ref="P9:P10"/>
    <mergeCell ref="M3:M4"/>
    <mergeCell ref="N3:N4"/>
    <mergeCell ref="O3:O4"/>
    <mergeCell ref="P3:P4"/>
    <mergeCell ref="M5:M6"/>
    <mergeCell ref="N5:N6"/>
    <mergeCell ref="O5:O6"/>
    <mergeCell ref="P5:P6"/>
    <mergeCell ref="I9:I10"/>
    <mergeCell ref="J9:J10"/>
    <mergeCell ref="K9:K10"/>
    <mergeCell ref="I11:I12"/>
    <mergeCell ref="J11:J12"/>
    <mergeCell ref="K11:K12"/>
    <mergeCell ref="D11:D12"/>
    <mergeCell ref="E11:E12"/>
    <mergeCell ref="F11:F12"/>
    <mergeCell ref="G11:G12"/>
    <mergeCell ref="H11:H12"/>
    <mergeCell ref="D1:G1"/>
    <mergeCell ref="I3:I4"/>
    <mergeCell ref="J3:J4"/>
    <mergeCell ref="K3:K4"/>
    <mergeCell ref="D7:D8"/>
    <mergeCell ref="E7:E8"/>
    <mergeCell ref="F7:F8"/>
    <mergeCell ref="G7:G8"/>
    <mergeCell ref="H7:H8"/>
    <mergeCell ref="D3:D4"/>
    <mergeCell ref="E3:E4"/>
    <mergeCell ref="F3:F4"/>
    <mergeCell ref="G3:G4"/>
    <mergeCell ref="H3:H4"/>
    <mergeCell ref="D5:D6"/>
    <mergeCell ref="E5:E6"/>
    <mergeCell ref="D9:D10"/>
    <mergeCell ref="E9:E10"/>
    <mergeCell ref="F9:F10"/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Runge-Kutta_Implicitos</vt:lpstr>
      <vt:lpstr>PenduloSimple-PotencialDoblePoz</vt:lpstr>
      <vt:lpstr>PenduloDoble</vt:lpstr>
      <vt:lpstr>ModelosCaoticos</vt:lpstr>
      <vt:lpstr>Modelos-Infecciones</vt:lpstr>
      <vt:lpstr>GraficaCiclica</vt:lpstr>
      <vt:lpstr>Apoptosis</vt:lpstr>
      <vt:lpstr>Final</vt:lpstr>
      <vt:lpstr>Examen2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2025-12-07T22:51:41Z</dcterms:modified>
</cp:coreProperties>
</file>